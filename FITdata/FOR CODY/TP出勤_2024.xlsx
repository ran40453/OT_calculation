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cody/Downloads/FOR CODY/"/>
    </mc:Choice>
  </mc:AlternateContent>
  <xr:revisionPtr revIDLastSave="0" documentId="13_ncr:1_{41758BAC-7C9F-8E40-A5F1-D3FB8F28BDCD}" xr6:coauthVersionLast="47" xr6:coauthVersionMax="47" xr10:uidLastSave="{00000000-0000-0000-0000-000000000000}"/>
  <bookViews>
    <workbookView xWindow="0" yWindow="660" windowWidth="30240" windowHeight="17660" firstSheet="23" activeTab="28" xr2:uid="{00000000-000D-0000-FFFF-FFFF00000000}"/>
  </bookViews>
  <sheets>
    <sheet name="2024分析表" sheetId="34" r:id="rId1"/>
    <sheet name="TP加班累計-請假總合_2024" sheetId="2" r:id="rId2"/>
    <sheet name="TP加班-請假總合累計_2023+2024" sheetId="7" r:id="rId3"/>
    <sheet name="TP加班累計-請假總合_2023" sheetId="6" r:id="rId4"/>
    <sheet name="TP1月份請假" sheetId="4" r:id="rId5"/>
    <sheet name="TP出勤1月份" sheetId="1" r:id="rId6"/>
    <sheet name="TP1月份加班" sheetId="3" r:id="rId7"/>
    <sheet name="TP出勤2月份" sheetId="5" r:id="rId8"/>
    <sheet name="TP2月份請假" sheetId="9" r:id="rId9"/>
    <sheet name="TP2月份加班" sheetId="8" r:id="rId10"/>
    <sheet name="TP出勤3月份" sheetId="10" r:id="rId11"/>
    <sheet name="TP3月份請假" sheetId="11" r:id="rId12"/>
    <sheet name="TP3月份加班" sheetId="12" r:id="rId13"/>
    <sheet name="TP出勤4月份" sheetId="13" r:id="rId14"/>
    <sheet name="TP4月份請假" sheetId="14" r:id="rId15"/>
    <sheet name="TP4月份加班" sheetId="15" r:id="rId16"/>
    <sheet name="TP出勤5月份" sheetId="16" r:id="rId17"/>
    <sheet name="TP5月份請假" sheetId="17" r:id="rId18"/>
    <sheet name="TP5月份加班" sheetId="18" r:id="rId19"/>
    <sheet name="TP出勤6月份" sheetId="19" r:id="rId20"/>
    <sheet name="TP6月份請假" sheetId="20" r:id="rId21"/>
    <sheet name="TP6月份加班" sheetId="21" r:id="rId22"/>
    <sheet name="TP出勤7月份" sheetId="22" r:id="rId23"/>
    <sheet name="TP7月份請假" sheetId="23" r:id="rId24"/>
    <sheet name="TP7月份加班" sheetId="24" r:id="rId25"/>
    <sheet name="TP出勤8月份" sheetId="25" r:id="rId26"/>
    <sheet name="TP8月份請假" sheetId="29" r:id="rId27"/>
    <sheet name="TP8月份加班" sheetId="27" r:id="rId28"/>
    <sheet name="TP出勤9月份" sheetId="28" r:id="rId29"/>
    <sheet name="TP9月份請假" sheetId="26" r:id="rId30"/>
    <sheet name="TP9月份加班" sheetId="30" r:id="rId31"/>
    <sheet name="TP出勤10月份" sheetId="31" r:id="rId32"/>
    <sheet name="TP10月份請假" sheetId="32" r:id="rId33"/>
    <sheet name="TP10月份加班" sheetId="33" r:id="rId34"/>
    <sheet name="TP出勤11月份" sheetId="35" r:id="rId35"/>
    <sheet name="TP11月份請假" sheetId="36" r:id="rId36"/>
    <sheet name="TP11月份加班" sheetId="37" r:id="rId37"/>
    <sheet name="TP出勤12月份" sheetId="38" r:id="rId38"/>
    <sheet name="TP12月份請假" sheetId="39" r:id="rId39"/>
    <sheet name="TP12月份加班" sheetId="40" r:id="rId40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" l="1"/>
  <c r="C19" i="39"/>
  <c r="C19" i="40"/>
  <c r="C18" i="40"/>
  <c r="C17" i="40"/>
  <c r="C16" i="40"/>
  <c r="C15" i="40"/>
  <c r="C14" i="40"/>
  <c r="C13" i="40"/>
  <c r="C12" i="40"/>
  <c r="N12" i="2" s="1"/>
  <c r="C11" i="40"/>
  <c r="C10" i="40"/>
  <c r="C9" i="40"/>
  <c r="C8" i="40"/>
  <c r="C7" i="40"/>
  <c r="C6" i="40"/>
  <c r="C5" i="40"/>
  <c r="C4" i="40"/>
  <c r="C3" i="40"/>
  <c r="C18" i="39"/>
  <c r="C17" i="39"/>
  <c r="N17" i="2" s="1"/>
  <c r="C16" i="39"/>
  <c r="N16" i="2" s="1"/>
  <c r="C15" i="39"/>
  <c r="C14" i="39"/>
  <c r="C13" i="39"/>
  <c r="N13" i="2" s="1"/>
  <c r="C12" i="39"/>
  <c r="C11" i="39"/>
  <c r="C10" i="39"/>
  <c r="C9" i="39"/>
  <c r="C8" i="39"/>
  <c r="C7" i="39"/>
  <c r="C6" i="39"/>
  <c r="C5" i="39"/>
  <c r="N5" i="2" s="1"/>
  <c r="C4" i="39"/>
  <c r="N4" i="2" s="1"/>
  <c r="C3" i="39"/>
  <c r="C19" i="37"/>
  <c r="M19" i="2" s="1"/>
  <c r="O19" i="2" s="1"/>
  <c r="C19" i="7" s="1"/>
  <c r="C72" i="34" s="1"/>
  <c r="C19" i="36"/>
  <c r="C18" i="37"/>
  <c r="C17" i="37"/>
  <c r="M17" i="2" s="1"/>
  <c r="C16" i="37"/>
  <c r="C15" i="37"/>
  <c r="M15" i="2" s="1"/>
  <c r="C14" i="37"/>
  <c r="C13" i="37"/>
  <c r="C12" i="37"/>
  <c r="C11" i="37"/>
  <c r="M11" i="2" s="1"/>
  <c r="C10" i="37"/>
  <c r="M10" i="2" s="1"/>
  <c r="C9" i="37"/>
  <c r="M9" i="2" s="1"/>
  <c r="C8" i="37"/>
  <c r="M8" i="2" s="1"/>
  <c r="C7" i="37"/>
  <c r="M7" i="2" s="1"/>
  <c r="C6" i="37"/>
  <c r="C5" i="37"/>
  <c r="M5" i="2" s="1"/>
  <c r="C4" i="37"/>
  <c r="M4" i="2" s="1"/>
  <c r="C3" i="37"/>
  <c r="M3" i="2" s="1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D53" i="34"/>
  <c r="E53" i="34"/>
  <c r="F53" i="34"/>
  <c r="G53" i="34"/>
  <c r="H53" i="34"/>
  <c r="I53" i="34"/>
  <c r="J53" i="34"/>
  <c r="K53" i="34"/>
  <c r="D54" i="34"/>
  <c r="E54" i="34"/>
  <c r="F54" i="34"/>
  <c r="G54" i="34"/>
  <c r="H54" i="34"/>
  <c r="I54" i="34"/>
  <c r="J54" i="34"/>
  <c r="K54" i="34"/>
  <c r="L54" i="34"/>
  <c r="D35" i="34"/>
  <c r="E35" i="34"/>
  <c r="F35" i="34"/>
  <c r="G35" i="34"/>
  <c r="H35" i="34"/>
  <c r="I35" i="34"/>
  <c r="J35" i="34"/>
  <c r="K35" i="34"/>
  <c r="D36" i="34"/>
  <c r="E36" i="34"/>
  <c r="F36" i="34"/>
  <c r="G36" i="34"/>
  <c r="H36" i="34"/>
  <c r="I36" i="34"/>
  <c r="J36" i="34"/>
  <c r="K36" i="34"/>
  <c r="L36" i="34"/>
  <c r="D17" i="34"/>
  <c r="E17" i="34"/>
  <c r="F17" i="34"/>
  <c r="G17" i="34"/>
  <c r="H17" i="34"/>
  <c r="I17" i="34"/>
  <c r="J17" i="34"/>
  <c r="K17" i="34"/>
  <c r="D18" i="34"/>
  <c r="E18" i="34"/>
  <c r="F18" i="34"/>
  <c r="G18" i="34"/>
  <c r="H18" i="34"/>
  <c r="I18" i="34"/>
  <c r="J18" i="34"/>
  <c r="K18" i="34"/>
  <c r="L18" i="34"/>
  <c r="M18" i="2"/>
  <c r="M16" i="2"/>
  <c r="M6" i="2"/>
  <c r="M12" i="2"/>
  <c r="M13" i="2"/>
  <c r="M14" i="2"/>
  <c r="C18" i="33"/>
  <c r="M36" i="34" s="1"/>
  <c r="C36" i="34" s="1"/>
  <c r="C18" i="32"/>
  <c r="M18" i="34"/>
  <c r="C18" i="34"/>
  <c r="C3" i="33"/>
  <c r="L3" i="2" s="1"/>
  <c r="M40" i="34" s="1"/>
  <c r="C40" i="34" s="1"/>
  <c r="C4" i="33"/>
  <c r="M23" i="34" s="1"/>
  <c r="C23" i="34" s="1"/>
  <c r="C5" i="33"/>
  <c r="M24" i="34"/>
  <c r="C6" i="33"/>
  <c r="M25" i="34" s="1"/>
  <c r="C25" i="34" s="1"/>
  <c r="C7" i="33"/>
  <c r="M26" i="34" s="1"/>
  <c r="C26" i="34" s="1"/>
  <c r="C8" i="33"/>
  <c r="M27" i="34" s="1"/>
  <c r="C27" i="34" s="1"/>
  <c r="C9" i="33"/>
  <c r="M28" i="34" s="1"/>
  <c r="C28" i="34" s="1"/>
  <c r="C10" i="33"/>
  <c r="M29" i="34" s="1"/>
  <c r="C29" i="34" s="1"/>
  <c r="C11" i="33"/>
  <c r="M30" i="34"/>
  <c r="C12" i="33"/>
  <c r="L12" i="2" s="1"/>
  <c r="M49" i="34" s="1"/>
  <c r="C49" i="34" s="1"/>
  <c r="C13" i="33"/>
  <c r="M32" i="34"/>
  <c r="C14" i="33"/>
  <c r="M33" i="34" s="1"/>
  <c r="C33" i="34" s="1"/>
  <c r="C15" i="33"/>
  <c r="C16" i="33"/>
  <c r="M34" i="34" s="1"/>
  <c r="C34" i="34" s="1"/>
  <c r="C17" i="33"/>
  <c r="M35" i="34" s="1"/>
  <c r="C35" i="34" s="1"/>
  <c r="C17" i="32"/>
  <c r="M17" i="34"/>
  <c r="C16" i="32"/>
  <c r="M16" i="34"/>
  <c r="C15" i="32"/>
  <c r="M15" i="34"/>
  <c r="C14" i="32"/>
  <c r="M14" i="34"/>
  <c r="C13" i="32"/>
  <c r="M13" i="34"/>
  <c r="C12" i="32"/>
  <c r="M12" i="34"/>
  <c r="C11" i="32"/>
  <c r="M11" i="34"/>
  <c r="C10" i="32"/>
  <c r="M10" i="34"/>
  <c r="C9" i="32"/>
  <c r="M9" i="34"/>
  <c r="C8" i="32"/>
  <c r="M8" i="34"/>
  <c r="C7" i="32"/>
  <c r="M7" i="34"/>
  <c r="C6" i="32"/>
  <c r="M6" i="34"/>
  <c r="C5" i="32"/>
  <c r="M5" i="34"/>
  <c r="C4" i="32"/>
  <c r="M4" i="34"/>
  <c r="C3" i="32"/>
  <c r="M3" i="34"/>
  <c r="M54" i="34"/>
  <c r="C54" i="34"/>
  <c r="L16" i="2"/>
  <c r="M52" i="34" s="1"/>
  <c r="C52" i="34" s="1"/>
  <c r="L5" i="2"/>
  <c r="M42" i="34" s="1"/>
  <c r="C42" i="34" s="1"/>
  <c r="L13" i="2"/>
  <c r="M50" i="34" s="1"/>
  <c r="C50" i="34" s="1"/>
  <c r="L6" i="2"/>
  <c r="M43" i="34"/>
  <c r="L11" i="2"/>
  <c r="M48" i="34"/>
  <c r="C48" i="34" s="1"/>
  <c r="L7" i="2"/>
  <c r="M44" i="34" s="1"/>
  <c r="C44" i="34" s="1"/>
  <c r="L9" i="2"/>
  <c r="M46" i="34" s="1"/>
  <c r="C46" i="34" s="1"/>
  <c r="L15" i="2"/>
  <c r="C17" i="30"/>
  <c r="L35" i="34"/>
  <c r="C17" i="26"/>
  <c r="L17" i="34"/>
  <c r="C17" i="34"/>
  <c r="K17" i="2"/>
  <c r="C16" i="30"/>
  <c r="L34" i="34"/>
  <c r="C15" i="30"/>
  <c r="C14" i="30"/>
  <c r="L33" i="34"/>
  <c r="C13" i="30"/>
  <c r="L32" i="34"/>
  <c r="C12" i="30"/>
  <c r="L31" i="34"/>
  <c r="C11" i="30"/>
  <c r="L30" i="34"/>
  <c r="C10" i="30"/>
  <c r="L29" i="34"/>
  <c r="C9" i="30"/>
  <c r="L28" i="34"/>
  <c r="C8" i="30"/>
  <c r="L27" i="34"/>
  <c r="C7" i="30"/>
  <c r="L26" i="34"/>
  <c r="C6" i="30"/>
  <c r="L25" i="34"/>
  <c r="C5" i="30"/>
  <c r="L24" i="34"/>
  <c r="C4" i="30"/>
  <c r="L23" i="34"/>
  <c r="C3" i="30"/>
  <c r="L22" i="34"/>
  <c r="C16" i="29"/>
  <c r="K16" i="34"/>
  <c r="C15" i="29"/>
  <c r="K15" i="34"/>
  <c r="C14" i="29"/>
  <c r="K14" i="34"/>
  <c r="C13" i="29"/>
  <c r="K13" i="34"/>
  <c r="C12" i="29"/>
  <c r="K12" i="34"/>
  <c r="C11" i="29"/>
  <c r="K11" i="34"/>
  <c r="C10" i="29"/>
  <c r="K10" i="34"/>
  <c r="C9" i="29"/>
  <c r="K9" i="34"/>
  <c r="C8" i="29"/>
  <c r="K8" i="34"/>
  <c r="C7" i="29"/>
  <c r="K7" i="34"/>
  <c r="C6" i="29"/>
  <c r="K6" i="34"/>
  <c r="C5" i="29"/>
  <c r="K5" i="34"/>
  <c r="C4" i="29"/>
  <c r="K4" i="34"/>
  <c r="C3" i="29"/>
  <c r="K3" i="34"/>
  <c r="L53" i="34"/>
  <c r="C16" i="27"/>
  <c r="C15" i="27"/>
  <c r="J15" i="2"/>
  <c r="C14" i="27"/>
  <c r="C13" i="27"/>
  <c r="C12" i="27"/>
  <c r="C11" i="27"/>
  <c r="C10" i="27"/>
  <c r="C9" i="27"/>
  <c r="C8" i="27"/>
  <c r="C7" i="27"/>
  <c r="C6" i="27"/>
  <c r="C5" i="27"/>
  <c r="C4" i="27"/>
  <c r="C3" i="27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K28" i="34"/>
  <c r="J9" i="2"/>
  <c r="K46" i="34"/>
  <c r="K30" i="34"/>
  <c r="J11" i="2"/>
  <c r="K48" i="34"/>
  <c r="K29" i="34"/>
  <c r="J10" i="2"/>
  <c r="K47" i="34"/>
  <c r="K13" i="2"/>
  <c r="L50" i="34"/>
  <c r="L13" i="34"/>
  <c r="K14" i="2"/>
  <c r="L51" i="34"/>
  <c r="L14" i="34"/>
  <c r="K31" i="34"/>
  <c r="J12" i="2"/>
  <c r="K49" i="34"/>
  <c r="K9" i="2"/>
  <c r="L46" i="34"/>
  <c r="L9" i="34"/>
  <c r="K11" i="2"/>
  <c r="L48" i="34"/>
  <c r="L11" i="34"/>
  <c r="K12" i="2"/>
  <c r="L49" i="34"/>
  <c r="L12" i="34"/>
  <c r="K3" i="2"/>
  <c r="L40" i="34"/>
  <c r="L3" i="34"/>
  <c r="K15" i="2"/>
  <c r="L15" i="34"/>
  <c r="K32" i="34"/>
  <c r="J13" i="2"/>
  <c r="K50" i="34"/>
  <c r="K16" i="2"/>
  <c r="L52" i="34"/>
  <c r="L16" i="34"/>
  <c r="K33" i="34"/>
  <c r="J14" i="2"/>
  <c r="K51" i="34"/>
  <c r="K10" i="2"/>
  <c r="L47" i="34"/>
  <c r="L10" i="34"/>
  <c r="J8" i="2"/>
  <c r="K45" i="34"/>
  <c r="K27" i="34"/>
  <c r="K4" i="2"/>
  <c r="L41" i="34"/>
  <c r="L4" i="34"/>
  <c r="K5" i="2"/>
  <c r="L42" i="34"/>
  <c r="L5" i="34"/>
  <c r="K6" i="2"/>
  <c r="L43" i="34"/>
  <c r="L6" i="34"/>
  <c r="K23" i="34"/>
  <c r="J4" i="2"/>
  <c r="K41" i="34"/>
  <c r="K34" i="34"/>
  <c r="J16" i="2"/>
  <c r="K52" i="34"/>
  <c r="K24" i="34"/>
  <c r="J5" i="2"/>
  <c r="K42" i="34"/>
  <c r="K22" i="34"/>
  <c r="J3" i="2"/>
  <c r="K40" i="34"/>
  <c r="K7" i="2"/>
  <c r="L44" i="34"/>
  <c r="L7" i="34"/>
  <c r="K8" i="2"/>
  <c r="L45" i="34"/>
  <c r="L8" i="34"/>
  <c r="K25" i="34"/>
  <c r="J6" i="2"/>
  <c r="K43" i="34"/>
  <c r="K26" i="34"/>
  <c r="J7" i="2"/>
  <c r="K44" i="34"/>
  <c r="C15" i="24"/>
  <c r="C15" i="23"/>
  <c r="J15" i="34"/>
  <c r="I15" i="2"/>
  <c r="C3" i="24"/>
  <c r="J22" i="34"/>
  <c r="C4" i="24"/>
  <c r="J23" i="34"/>
  <c r="C5" i="24"/>
  <c r="J24" i="34"/>
  <c r="C6" i="24"/>
  <c r="J25" i="34"/>
  <c r="C7" i="24"/>
  <c r="J26" i="34"/>
  <c r="C8" i="24"/>
  <c r="J27" i="34"/>
  <c r="C9" i="24"/>
  <c r="J28" i="34"/>
  <c r="C10" i="24"/>
  <c r="J29" i="34"/>
  <c r="C11" i="24"/>
  <c r="J30" i="34"/>
  <c r="C12" i="24"/>
  <c r="J31" i="34"/>
  <c r="C13" i="24"/>
  <c r="J32" i="34"/>
  <c r="C14" i="24"/>
  <c r="J33" i="34"/>
  <c r="C16" i="24"/>
  <c r="J34" i="34"/>
  <c r="C4" i="23"/>
  <c r="J4" i="34"/>
  <c r="C5" i="23"/>
  <c r="J5" i="34"/>
  <c r="C6" i="23"/>
  <c r="J6" i="34"/>
  <c r="C7" i="23"/>
  <c r="J7" i="34"/>
  <c r="C8" i="23"/>
  <c r="J8" i="34"/>
  <c r="C9" i="23"/>
  <c r="J9" i="34"/>
  <c r="C10" i="23"/>
  <c r="J10" i="34"/>
  <c r="C11" i="23"/>
  <c r="J11" i="34"/>
  <c r="C12" i="23"/>
  <c r="J12" i="34"/>
  <c r="C13" i="23"/>
  <c r="J13" i="34"/>
  <c r="C14" i="23"/>
  <c r="J14" i="34"/>
  <c r="C16" i="23"/>
  <c r="C3" i="23"/>
  <c r="J3" i="34"/>
  <c r="I16" i="2"/>
  <c r="J16" i="34"/>
  <c r="I4" i="2"/>
  <c r="J41" i="34"/>
  <c r="I5" i="2"/>
  <c r="J42" i="34"/>
  <c r="I11" i="2"/>
  <c r="J48" i="34"/>
  <c r="I10" i="2"/>
  <c r="J47" i="34"/>
  <c r="I13" i="2"/>
  <c r="J50" i="34"/>
  <c r="I6" i="2"/>
  <c r="J43" i="34"/>
  <c r="I14" i="2"/>
  <c r="J51" i="34"/>
  <c r="I12" i="2"/>
  <c r="J49" i="34"/>
  <c r="I7" i="2"/>
  <c r="J44" i="34"/>
  <c r="I8" i="2"/>
  <c r="J45" i="34"/>
  <c r="I9" i="2"/>
  <c r="J46" i="34"/>
  <c r="I3" i="2"/>
  <c r="J40" i="34"/>
  <c r="C9" i="18"/>
  <c r="H28" i="34"/>
  <c r="C8" i="18"/>
  <c r="H27" i="34"/>
  <c r="C7" i="18"/>
  <c r="H26" i="34"/>
  <c r="C6" i="18"/>
  <c r="H25" i="34"/>
  <c r="C5" i="18"/>
  <c r="H24" i="34"/>
  <c r="C4" i="18"/>
  <c r="H23" i="34"/>
  <c r="C3" i="18"/>
  <c r="H22" i="34"/>
  <c r="C16" i="17"/>
  <c r="H16" i="34"/>
  <c r="C15" i="17"/>
  <c r="H15" i="34"/>
  <c r="C14" i="17"/>
  <c r="H14" i="34"/>
  <c r="C12" i="17"/>
  <c r="H12" i="34"/>
  <c r="C11" i="17"/>
  <c r="H11" i="34"/>
  <c r="C9" i="17"/>
  <c r="H9" i="34"/>
  <c r="C8" i="17"/>
  <c r="H8" i="34"/>
  <c r="C7" i="17"/>
  <c r="H7" i="34"/>
  <c r="C6" i="17"/>
  <c r="H6" i="34"/>
  <c r="C5" i="17"/>
  <c r="H5" i="34"/>
  <c r="C4" i="17"/>
  <c r="H4" i="34"/>
  <c r="C3" i="17"/>
  <c r="H3" i="34"/>
  <c r="C3" i="20"/>
  <c r="I3" i="34"/>
  <c r="C3" i="8"/>
  <c r="E22" i="34"/>
  <c r="C16" i="18"/>
  <c r="C15" i="18"/>
  <c r="G15" i="2"/>
  <c r="C14" i="18"/>
  <c r="H33" i="34"/>
  <c r="C13" i="18"/>
  <c r="H32" i="34"/>
  <c r="C12" i="18"/>
  <c r="H31" i="34"/>
  <c r="C11" i="18"/>
  <c r="H30" i="34"/>
  <c r="H34" i="34"/>
  <c r="G16" i="2"/>
  <c r="H52" i="34"/>
  <c r="J52" i="34"/>
  <c r="C16" i="21"/>
  <c r="C15" i="21"/>
  <c r="H15" i="2"/>
  <c r="C14" i="21"/>
  <c r="I33" i="34"/>
  <c r="C13" i="21"/>
  <c r="I32" i="34"/>
  <c r="C12" i="21"/>
  <c r="I31" i="34"/>
  <c r="C11" i="21"/>
  <c r="I30" i="34"/>
  <c r="C10" i="21"/>
  <c r="I29" i="34"/>
  <c r="C9" i="21"/>
  <c r="I28" i="34"/>
  <c r="C8" i="21"/>
  <c r="I27" i="34"/>
  <c r="C7" i="21"/>
  <c r="I26" i="34"/>
  <c r="C6" i="21"/>
  <c r="I25" i="34"/>
  <c r="C5" i="21"/>
  <c r="I24" i="34"/>
  <c r="C4" i="21"/>
  <c r="I23" i="34"/>
  <c r="C3" i="21"/>
  <c r="I22" i="34"/>
  <c r="C16" i="20"/>
  <c r="I16" i="34"/>
  <c r="C15" i="20"/>
  <c r="I15" i="34"/>
  <c r="C14" i="20"/>
  <c r="I14" i="34"/>
  <c r="C13" i="20"/>
  <c r="I13" i="34"/>
  <c r="C12" i="20"/>
  <c r="I12" i="34"/>
  <c r="C11" i="20"/>
  <c r="I11" i="34"/>
  <c r="C10" i="20"/>
  <c r="I10" i="34"/>
  <c r="C9" i="20"/>
  <c r="I9" i="34"/>
  <c r="C8" i="20"/>
  <c r="I8" i="34"/>
  <c r="C7" i="20"/>
  <c r="I7" i="34"/>
  <c r="C6" i="20"/>
  <c r="I6" i="34"/>
  <c r="C5" i="20"/>
  <c r="I5" i="34"/>
  <c r="C4" i="20"/>
  <c r="I4" i="34"/>
  <c r="I34" i="34"/>
  <c r="H16" i="2"/>
  <c r="I52" i="34"/>
  <c r="H12" i="2"/>
  <c r="I49" i="34"/>
  <c r="H14" i="2"/>
  <c r="I51" i="34"/>
  <c r="H4" i="2"/>
  <c r="I41" i="34"/>
  <c r="H11" i="2"/>
  <c r="I48" i="34"/>
  <c r="H5" i="2"/>
  <c r="I42" i="34"/>
  <c r="H10" i="2"/>
  <c r="I47" i="34"/>
  <c r="H6" i="2"/>
  <c r="I43" i="34"/>
  <c r="H7" i="2"/>
  <c r="I44" i="34"/>
  <c r="H13" i="2"/>
  <c r="I50" i="34"/>
  <c r="H8" i="2"/>
  <c r="I45" i="34"/>
  <c r="H9" i="2"/>
  <c r="I46" i="34"/>
  <c r="H3" i="2"/>
  <c r="I40" i="34"/>
  <c r="C10" i="18"/>
  <c r="H29" i="34"/>
  <c r="G6" i="2"/>
  <c r="H43" i="34"/>
  <c r="C13" i="17"/>
  <c r="H13" i="34"/>
  <c r="C10" i="17"/>
  <c r="H10" i="34"/>
  <c r="G7" i="2"/>
  <c r="H44" i="34"/>
  <c r="G9" i="2"/>
  <c r="H46" i="34"/>
  <c r="G3" i="2"/>
  <c r="H40" i="34"/>
  <c r="G5" i="2"/>
  <c r="H42" i="34"/>
  <c r="G10" i="2"/>
  <c r="H47" i="34"/>
  <c r="G12" i="2"/>
  <c r="H49" i="34"/>
  <c r="G8" i="2"/>
  <c r="H45" i="34"/>
  <c r="G13" i="2"/>
  <c r="H50" i="34"/>
  <c r="G14" i="2"/>
  <c r="H51" i="34"/>
  <c r="G11" i="2"/>
  <c r="H48" i="34"/>
  <c r="G4" i="2"/>
  <c r="H41" i="34"/>
  <c r="C16" i="15"/>
  <c r="C15" i="15"/>
  <c r="F15" i="2"/>
  <c r="C14" i="15"/>
  <c r="G33" i="34"/>
  <c r="C13" i="15"/>
  <c r="G32" i="34"/>
  <c r="C12" i="15"/>
  <c r="G31" i="34"/>
  <c r="C11" i="15"/>
  <c r="G30" i="34"/>
  <c r="C10" i="15"/>
  <c r="G29" i="34"/>
  <c r="C9" i="15"/>
  <c r="G28" i="34"/>
  <c r="C8" i="15"/>
  <c r="G27" i="34"/>
  <c r="C7" i="15"/>
  <c r="G26" i="34"/>
  <c r="C6" i="15"/>
  <c r="G25" i="34"/>
  <c r="C5" i="15"/>
  <c r="G24" i="34"/>
  <c r="C4" i="15"/>
  <c r="G23" i="34"/>
  <c r="C3" i="15"/>
  <c r="G22" i="34"/>
  <c r="C16" i="14"/>
  <c r="G16" i="34"/>
  <c r="C15" i="14"/>
  <c r="G15" i="34"/>
  <c r="C14" i="14"/>
  <c r="G14" i="34"/>
  <c r="C13" i="14"/>
  <c r="G13" i="34"/>
  <c r="C12" i="14"/>
  <c r="G12" i="34"/>
  <c r="C11" i="14"/>
  <c r="G11" i="34"/>
  <c r="C10" i="14"/>
  <c r="G10" i="34"/>
  <c r="C9" i="14"/>
  <c r="G9" i="34"/>
  <c r="C8" i="14"/>
  <c r="G8" i="34"/>
  <c r="C7" i="14"/>
  <c r="G7" i="34"/>
  <c r="C6" i="14"/>
  <c r="G6" i="34"/>
  <c r="C5" i="14"/>
  <c r="G5" i="34"/>
  <c r="C4" i="14"/>
  <c r="G4" i="34"/>
  <c r="C3" i="14"/>
  <c r="G3" i="34"/>
  <c r="G34" i="34"/>
  <c r="F16" i="2"/>
  <c r="G52" i="34"/>
  <c r="F14" i="2"/>
  <c r="G51" i="34"/>
  <c r="F9" i="2"/>
  <c r="G46" i="34"/>
  <c r="F10" i="2"/>
  <c r="G47" i="34"/>
  <c r="F6" i="2"/>
  <c r="G43" i="34"/>
  <c r="F12" i="2"/>
  <c r="G49" i="34"/>
  <c r="F4" i="2"/>
  <c r="G41" i="34"/>
  <c r="F11" i="2"/>
  <c r="G48" i="34"/>
  <c r="F5" i="2"/>
  <c r="G42" i="34"/>
  <c r="F13" i="2"/>
  <c r="G50" i="34"/>
  <c r="F3" i="2"/>
  <c r="G40" i="34"/>
  <c r="F7" i="2"/>
  <c r="G44" i="34"/>
  <c r="F8" i="2"/>
  <c r="G45" i="34"/>
  <c r="C16" i="12"/>
  <c r="C15" i="12"/>
  <c r="E15" i="2"/>
  <c r="C14" i="12"/>
  <c r="F33" i="34"/>
  <c r="C13" i="12"/>
  <c r="F32" i="34"/>
  <c r="C12" i="12"/>
  <c r="F31" i="34"/>
  <c r="C11" i="12"/>
  <c r="F30" i="34"/>
  <c r="C10" i="12"/>
  <c r="F29" i="34"/>
  <c r="C9" i="12"/>
  <c r="F28" i="34"/>
  <c r="C8" i="12"/>
  <c r="F27" i="34"/>
  <c r="C7" i="12"/>
  <c r="F26" i="34"/>
  <c r="C6" i="12"/>
  <c r="F25" i="34"/>
  <c r="C5" i="12"/>
  <c r="F24" i="34"/>
  <c r="C4" i="12"/>
  <c r="F23" i="34"/>
  <c r="C3" i="12"/>
  <c r="F22" i="34"/>
  <c r="C16" i="11"/>
  <c r="F16" i="34"/>
  <c r="C15" i="11"/>
  <c r="F15" i="34"/>
  <c r="C14" i="11"/>
  <c r="F14" i="34"/>
  <c r="C13" i="11"/>
  <c r="F13" i="34"/>
  <c r="C12" i="11"/>
  <c r="F12" i="34"/>
  <c r="C11" i="11"/>
  <c r="F11" i="34"/>
  <c r="C10" i="11"/>
  <c r="F10" i="34"/>
  <c r="C9" i="11"/>
  <c r="F9" i="34"/>
  <c r="C8" i="11"/>
  <c r="F8" i="34"/>
  <c r="C7" i="11"/>
  <c r="F7" i="34"/>
  <c r="C6" i="11"/>
  <c r="F6" i="34"/>
  <c r="C5" i="11"/>
  <c r="F5" i="34"/>
  <c r="C4" i="11"/>
  <c r="F4" i="34"/>
  <c r="C3" i="11"/>
  <c r="F3" i="34"/>
  <c r="F34" i="34"/>
  <c r="E16" i="2"/>
  <c r="F52" i="34"/>
  <c r="E8" i="2"/>
  <c r="F45" i="34"/>
  <c r="E4" i="2"/>
  <c r="F41" i="34"/>
  <c r="E7" i="2"/>
  <c r="F44" i="34"/>
  <c r="E9" i="2"/>
  <c r="F46" i="34"/>
  <c r="E14" i="2"/>
  <c r="F51" i="34"/>
  <c r="E5" i="2"/>
  <c r="F42" i="34"/>
  <c r="E6" i="2"/>
  <c r="F43" i="34"/>
  <c r="E10" i="2"/>
  <c r="F47" i="34"/>
  <c r="E12" i="2"/>
  <c r="F49" i="34"/>
  <c r="E13" i="2"/>
  <c r="F50" i="34"/>
  <c r="E11" i="2"/>
  <c r="F48" i="34"/>
  <c r="E3" i="2"/>
  <c r="F40" i="34"/>
  <c r="C16" i="9"/>
  <c r="E16" i="34"/>
  <c r="C15" i="9"/>
  <c r="E15" i="34"/>
  <c r="C14" i="9"/>
  <c r="E14" i="34"/>
  <c r="C13" i="9"/>
  <c r="E13" i="34"/>
  <c r="C12" i="9"/>
  <c r="E12" i="34"/>
  <c r="C11" i="9"/>
  <c r="E11" i="34"/>
  <c r="C10" i="9"/>
  <c r="E10" i="34"/>
  <c r="C9" i="9"/>
  <c r="E9" i="34"/>
  <c r="C8" i="9"/>
  <c r="E8" i="34"/>
  <c r="C7" i="9"/>
  <c r="E7" i="34"/>
  <c r="C6" i="9"/>
  <c r="E6" i="34"/>
  <c r="C5" i="9"/>
  <c r="E5" i="34"/>
  <c r="C4" i="9"/>
  <c r="E4" i="34"/>
  <c r="C3" i="9"/>
  <c r="E3" i="34"/>
  <c r="C16" i="8"/>
  <c r="C15" i="8"/>
  <c r="D15" i="2"/>
  <c r="C14" i="8"/>
  <c r="E33" i="34"/>
  <c r="C13" i="8"/>
  <c r="E32" i="34"/>
  <c r="C12" i="8"/>
  <c r="E31" i="34"/>
  <c r="C11" i="8"/>
  <c r="E30" i="34"/>
  <c r="C10" i="8"/>
  <c r="E29" i="34"/>
  <c r="C9" i="8"/>
  <c r="E28" i="34"/>
  <c r="C8" i="8"/>
  <c r="E27" i="34"/>
  <c r="C7" i="8"/>
  <c r="E26" i="34"/>
  <c r="C6" i="8"/>
  <c r="E25" i="34"/>
  <c r="C5" i="8"/>
  <c r="E24" i="34"/>
  <c r="C4" i="8"/>
  <c r="E23" i="34"/>
  <c r="E34" i="34"/>
  <c r="D16" i="2"/>
  <c r="E52" i="34"/>
  <c r="D5" i="2"/>
  <c r="E42" i="34"/>
  <c r="D4" i="2"/>
  <c r="E41" i="34"/>
  <c r="D6" i="2"/>
  <c r="E43" i="34"/>
  <c r="D8" i="2"/>
  <c r="E45" i="34"/>
  <c r="D9" i="2"/>
  <c r="E46" i="34"/>
  <c r="D10" i="2"/>
  <c r="E47" i="34"/>
  <c r="D11" i="2"/>
  <c r="E48" i="34"/>
  <c r="D12" i="2"/>
  <c r="E49" i="34"/>
  <c r="D7" i="2"/>
  <c r="E44" i="34"/>
  <c r="D14" i="2"/>
  <c r="E51" i="34"/>
  <c r="D13" i="2"/>
  <c r="E50" i="34"/>
  <c r="D3" i="2"/>
  <c r="E40" i="34"/>
  <c r="C16" i="4"/>
  <c r="D16" i="34"/>
  <c r="C16" i="34"/>
  <c r="C15" i="4"/>
  <c r="D15" i="34"/>
  <c r="C15" i="34"/>
  <c r="C14" i="4"/>
  <c r="D14" i="34"/>
  <c r="C14" i="34"/>
  <c r="C13" i="4"/>
  <c r="D13" i="34"/>
  <c r="C13" i="34"/>
  <c r="C12" i="4"/>
  <c r="D12" i="34"/>
  <c r="C12" i="34"/>
  <c r="C11" i="4"/>
  <c r="D11" i="34"/>
  <c r="C11" i="34"/>
  <c r="C10" i="4"/>
  <c r="D10" i="34"/>
  <c r="C10" i="34"/>
  <c r="C9" i="4"/>
  <c r="D9" i="34"/>
  <c r="C9" i="34"/>
  <c r="C8" i="4"/>
  <c r="D8" i="34"/>
  <c r="C8" i="34"/>
  <c r="C7" i="4"/>
  <c r="D7" i="34"/>
  <c r="C7" i="34"/>
  <c r="C6" i="4"/>
  <c r="D6" i="34"/>
  <c r="C6" i="34"/>
  <c r="C5" i="4"/>
  <c r="D5" i="34"/>
  <c r="C5" i="34"/>
  <c r="C4" i="4"/>
  <c r="D4" i="34"/>
  <c r="C4" i="34"/>
  <c r="C3" i="4"/>
  <c r="D3" i="34"/>
  <c r="C3" i="34"/>
  <c r="C4" i="3"/>
  <c r="C5" i="3"/>
  <c r="C6" i="3"/>
  <c r="C7" i="3"/>
  <c r="C8" i="3"/>
  <c r="C9" i="3"/>
  <c r="C10" i="3"/>
  <c r="C11" i="3"/>
  <c r="C12" i="3"/>
  <c r="C13" i="3"/>
  <c r="C14" i="3"/>
  <c r="C15" i="3"/>
  <c r="C15" i="2"/>
  <c r="C16" i="3"/>
  <c r="C3" i="3"/>
  <c r="C8" i="2"/>
  <c r="D27" i="34"/>
  <c r="C7" i="2"/>
  <c r="D26" i="34"/>
  <c r="C6" i="2"/>
  <c r="D25" i="34"/>
  <c r="C10" i="2"/>
  <c r="D29" i="34"/>
  <c r="C9" i="2"/>
  <c r="D28" i="34"/>
  <c r="C5" i="2"/>
  <c r="D24" i="34"/>
  <c r="C24" i="34"/>
  <c r="C4" i="2"/>
  <c r="D23" i="34"/>
  <c r="D34" i="34"/>
  <c r="C16" i="2"/>
  <c r="C11" i="2"/>
  <c r="D30" i="34"/>
  <c r="C30" i="34"/>
  <c r="C14" i="2"/>
  <c r="D33" i="34"/>
  <c r="C13" i="2"/>
  <c r="D32" i="34"/>
  <c r="C32" i="34"/>
  <c r="C3" i="2"/>
  <c r="D22" i="34"/>
  <c r="C12" i="2"/>
  <c r="D31" i="34"/>
  <c r="D44" i="34"/>
  <c r="D51" i="34"/>
  <c r="D40" i="34"/>
  <c r="D50" i="34"/>
  <c r="D46" i="34"/>
  <c r="D47" i="34"/>
  <c r="D48" i="34"/>
  <c r="D43" i="34"/>
  <c r="C43" i="34"/>
  <c r="D52" i="34"/>
  <c r="D42" i="34"/>
  <c r="D49" i="34"/>
  <c r="D41" i="34"/>
  <c r="D45" i="34"/>
  <c r="N14" i="2" l="1"/>
  <c r="N8" i="2"/>
  <c r="N15" i="2"/>
  <c r="O15" i="2" s="1"/>
  <c r="C15" i="7" s="1"/>
  <c r="O13" i="2"/>
  <c r="C13" i="7" s="1"/>
  <c r="C68" i="34" s="1"/>
  <c r="L17" i="2"/>
  <c r="M53" i="34" s="1"/>
  <c r="C53" i="34" s="1"/>
  <c r="L4" i="2"/>
  <c r="M41" i="34" s="1"/>
  <c r="C41" i="34" s="1"/>
  <c r="L10" i="2"/>
  <c r="M47" i="34" s="1"/>
  <c r="C47" i="34" s="1"/>
  <c r="M31" i="34"/>
  <c r="C31" i="34" s="1"/>
  <c r="L8" i="2"/>
  <c r="M45" i="34" s="1"/>
  <c r="C45" i="34" s="1"/>
  <c r="M22" i="34"/>
  <c r="C22" i="34" s="1"/>
  <c r="O5" i="2"/>
  <c r="C5" i="7" s="1"/>
  <c r="C60" i="34" s="1"/>
  <c r="L18" i="2"/>
  <c r="O16" i="2"/>
  <c r="C16" i="7" s="1"/>
  <c r="C70" i="34" s="1"/>
  <c r="O12" i="2"/>
  <c r="C12" i="7" s="1"/>
  <c r="C67" i="34" s="1"/>
  <c r="L14" i="2"/>
  <c r="M51" i="34" s="1"/>
  <c r="C51" i="34" s="1"/>
  <c r="N7" i="2"/>
  <c r="O7" i="2" s="1"/>
  <c r="C7" i="7" s="1"/>
  <c r="C62" i="34" s="1"/>
  <c r="N6" i="2"/>
  <c r="O6" i="2" s="1"/>
  <c r="C6" i="7" s="1"/>
  <c r="C61" i="34" s="1"/>
  <c r="N18" i="2"/>
  <c r="N11" i="2"/>
  <c r="O11" i="2" s="1"/>
  <c r="C11" i="7" s="1"/>
  <c r="C66" i="34" s="1"/>
  <c r="N3" i="2"/>
  <c r="O3" i="2" s="1"/>
  <c r="C3" i="7" s="1"/>
  <c r="C58" i="34" s="1"/>
  <c r="N9" i="2"/>
  <c r="O9" i="2" s="1"/>
  <c r="C9" i="7" s="1"/>
  <c r="C64" i="34" s="1"/>
  <c r="N10" i="2"/>
  <c r="O10" i="2" s="1"/>
  <c r="C10" i="7" s="1"/>
  <c r="C65" i="34" s="1"/>
  <c r="O18" i="2" l="1"/>
  <c r="C18" i="7" s="1"/>
  <c r="O4" i="2"/>
  <c r="C4" i="7" s="1"/>
  <c r="C59" i="34" s="1"/>
  <c r="O17" i="2"/>
  <c r="C17" i="7" s="1"/>
  <c r="C71" i="34" s="1"/>
  <c r="O8" i="2"/>
  <c r="C8" i="7" s="1"/>
  <c r="C63" i="34" s="1"/>
  <c r="O14" i="2"/>
  <c r="C14" i="7" s="1"/>
  <c r="C69" i="34" s="1"/>
</calcChain>
</file>

<file path=xl/sharedStrings.xml><?xml version="1.0" encoding="utf-8"?>
<sst xmlns="http://schemas.openxmlformats.org/spreadsheetml/2006/main" count="4553" uniqueCount="347">
  <si>
    <t>TP出勤</t>
    <phoneticPr fontId="1" type="noConversion"/>
  </si>
  <si>
    <t>NO.</t>
    <phoneticPr fontId="1" type="noConversion"/>
  </si>
  <si>
    <t>姓名</t>
    <phoneticPr fontId="1" type="noConversion"/>
  </si>
  <si>
    <t>郭先弘</t>
  </si>
  <si>
    <t>陳淑芬</t>
  </si>
  <si>
    <t>林世彬</t>
  </si>
  <si>
    <t>何彥璋</t>
  </si>
  <si>
    <t>吳嘉銘</t>
  </si>
  <si>
    <t>林詠書</t>
  </si>
  <si>
    <t>謝秉宏</t>
  </si>
  <si>
    <t>林建宏</t>
  </si>
  <si>
    <t>蘇景郁</t>
  </si>
  <si>
    <t>潘其昌</t>
  </si>
  <si>
    <t>陳俊男</t>
  </si>
  <si>
    <t>林政宏</t>
  </si>
  <si>
    <t>陸長遠</t>
  </si>
  <si>
    <t>劉益豪</t>
  </si>
  <si>
    <t>TP請假</t>
    <phoneticPr fontId="1" type="noConversion"/>
  </si>
  <si>
    <t>`</t>
    <phoneticPr fontId="1" type="noConversion"/>
  </si>
  <si>
    <t>TP加班</t>
    <phoneticPr fontId="1" type="noConversion"/>
  </si>
  <si>
    <t>TP(加班-請假)</t>
    <phoneticPr fontId="1" type="noConversion"/>
  </si>
  <si>
    <t>1.紅字代表請假單位大於加班單位</t>
    <phoneticPr fontId="1" type="noConversion"/>
  </si>
  <si>
    <t>◎</t>
  </si>
  <si>
    <t>◎</t>
    <phoneticPr fontId="1" type="noConversion"/>
  </si>
  <si>
    <t>正常</t>
    <phoneticPr fontId="1" type="noConversion"/>
  </si>
  <si>
    <t>補休</t>
    <phoneticPr fontId="1" type="noConversion"/>
  </si>
  <si>
    <t>出差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</si>
  <si>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</si>
  <si>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</si>
  <si>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</si>
  <si>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出差</t>
    <phoneticPr fontId="1" type="noConversion"/>
  </si>
  <si>
    <t>出差</t>
    <phoneticPr fontId="1" type="noConversion"/>
  </si>
  <si>
    <t>2024總累計單位
(0.5小時/單位)</t>
    <phoneticPr fontId="1" type="noConversion"/>
  </si>
  <si>
    <t>2023總累計單位
(0.5小時/單位)</t>
    <phoneticPr fontId="1" type="noConversion"/>
  </si>
  <si>
    <t>2023+2024總累計單位
(0.5小時/單位)</t>
    <phoneticPr fontId="1" type="noConversion"/>
  </si>
  <si>
    <t>一月累計
(0.5小時/單位)</t>
    <phoneticPr fontId="1" type="noConversion"/>
  </si>
  <si>
    <t>一月累計
(0.5小時/單位)</t>
    <phoneticPr fontId="1" type="noConversion"/>
  </si>
  <si>
    <t>出差</t>
    <phoneticPr fontId="1" type="noConversion"/>
  </si>
  <si>
    <t>出差</t>
    <phoneticPr fontId="1" type="noConversion"/>
  </si>
  <si>
    <t>出差</t>
    <phoneticPr fontId="1" type="noConversion"/>
  </si>
  <si>
    <t>遲到</t>
    <phoneticPr fontId="1" type="noConversion"/>
  </si>
  <si>
    <t>△</t>
    <phoneticPr fontId="1" type="noConversion"/>
  </si>
  <si>
    <t>出差</t>
    <phoneticPr fontId="1" type="noConversion"/>
  </si>
  <si>
    <t>出差</t>
    <phoneticPr fontId="1" type="noConversion"/>
  </si>
  <si>
    <t>出差</t>
    <phoneticPr fontId="1" type="noConversion"/>
  </si>
  <si>
    <t>◎</t>
    <phoneticPr fontId="1" type="noConversion"/>
  </si>
  <si>
    <t>◎</t>
    <phoneticPr fontId="1" type="noConversion"/>
  </si>
  <si>
    <t>✓</t>
    <phoneticPr fontId="1" type="noConversion"/>
  </si>
  <si>
    <t>補休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</si>
  <si>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</si>
  <si>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</si>
  <si>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</si>
  <si>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</si>
  <si>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◎</t>
    <phoneticPr fontId="1" type="noConversion"/>
  </si>
  <si>
    <t>2024一月累計單位
(0.5小時/單位)</t>
    <phoneticPr fontId="1" type="noConversion"/>
  </si>
  <si>
    <t>2024二月累計單位
(0.5小時/單位)</t>
    <phoneticPr fontId="1" type="noConversion"/>
  </si>
  <si>
    <t>二月累計
(0.5小時/單位)</t>
    <phoneticPr fontId="1" type="noConversion"/>
  </si>
  <si>
    <t>二月累計
(0.5小時/單位)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</si>
  <si>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</si>
  <si>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</si>
  <si>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</si>
  <si>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</si>
  <si>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</si>
  <si>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</si>
  <si>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</si>
  <si>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</si>
  <si>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</si>
  <si>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</si>
  <si>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</si>
  <si>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</si>
  <si>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</si>
  <si>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出差</t>
    <phoneticPr fontId="1" type="noConversion"/>
  </si>
  <si>
    <t>出差</t>
    <phoneticPr fontId="1" type="noConversion"/>
  </si>
  <si>
    <t>出差</t>
    <phoneticPr fontId="1" type="noConversion"/>
  </si>
  <si>
    <t>出差</t>
    <phoneticPr fontId="1" type="noConversion"/>
  </si>
  <si>
    <t>出差</t>
    <phoneticPr fontId="1" type="noConversion"/>
  </si>
  <si>
    <t>出差</t>
    <phoneticPr fontId="1" type="noConversion"/>
  </si>
  <si>
    <t>✓</t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</si>
  <si>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</si>
  <si>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</si>
  <si>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</si>
  <si>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</si>
  <si>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</si>
  <si>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</si>
  <si>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</si>
  <si>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</si>
  <si>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</si>
  <si>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</si>
  <si>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</si>
  <si>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</si>
  <si>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</si>
  <si>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</si>
  <si>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</si>
  <si>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</si>
  <si>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</si>
  <si>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</si>
  <si>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</si>
  <si>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</si>
  <si>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</si>
  <si>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</si>
  <si>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</si>
  <si>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</si>
  <si>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</si>
  <si>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</si>
  <si>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</si>
  <si>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</si>
  <si>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</si>
  <si>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</si>
  <si>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△</t>
    <phoneticPr fontId="1" type="noConversion"/>
  </si>
  <si>
    <t>△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</si>
  <si>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</si>
  <si>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</si>
  <si>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</si>
  <si>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</si>
  <si>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出差</t>
    <phoneticPr fontId="1" type="noConversion"/>
  </si>
  <si>
    <t>三月累計
(0.5小時/單位)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</si>
  <si>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</si>
  <si>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</si>
  <si>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</si>
  <si>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</si>
  <si>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</si>
  <si>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</si>
  <si>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</si>
  <si>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</si>
  <si>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</si>
  <si>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</si>
  <si>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◎</t>
    <phoneticPr fontId="1" type="noConversion"/>
  </si>
  <si>
    <t>出差</t>
    <phoneticPr fontId="1" type="noConversion"/>
  </si>
  <si>
    <t>出差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</si>
  <si>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</si>
  <si>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</si>
  <si>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</si>
  <si>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</si>
  <si>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</si>
  <si>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</si>
  <si>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◎</t>
    <phoneticPr fontId="1" type="noConversion"/>
  </si>
  <si>
    <t>△</t>
    <phoneticPr fontId="1" type="noConversion"/>
  </si>
  <si>
    <t>◎</t>
    <phoneticPr fontId="1" type="noConversion"/>
  </si>
  <si>
    <t>四月累計
(0.5小時/單位)</t>
    <phoneticPr fontId="1" type="noConversion"/>
  </si>
  <si>
    <t>四月累計
(0.5小時/單位)</t>
    <phoneticPr fontId="1" type="noConversion"/>
  </si>
  <si>
    <t>四月累計單位
(0.5小時/單位)</t>
    <phoneticPr fontId="1" type="noConversion"/>
  </si>
  <si>
    <t>2024三月累計單位
(0.5小時/單位)</t>
    <phoneticPr fontId="1" type="noConversion"/>
  </si>
  <si>
    <t>◎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</si>
  <si>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</si>
  <si>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</si>
  <si>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</si>
  <si>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>補休</t>
    <phoneticPr fontId="1" type="noConversion"/>
  </si>
  <si>
    <t>出差</t>
    <phoneticPr fontId="1" type="noConversion"/>
  </si>
  <si>
    <t>△</t>
    <phoneticPr fontId="1" type="noConversion"/>
  </si>
  <si>
    <t>✓</t>
    <phoneticPr fontId="1" type="noConversion"/>
  </si>
  <si>
    <t>特休</t>
    <phoneticPr fontId="1" type="noConversion"/>
  </si>
  <si>
    <t>出差</t>
    <phoneticPr fontId="1" type="noConversion"/>
  </si>
  <si>
    <t>◎</t>
    <phoneticPr fontId="1" type="noConversion"/>
  </si>
  <si>
    <t>◎</t>
    <phoneticPr fontId="1" type="noConversion"/>
  </si>
  <si>
    <t>外出</t>
    <phoneticPr fontId="1" type="noConversion"/>
  </si>
  <si>
    <t>陪產</t>
    <phoneticPr fontId="1" type="noConversion"/>
  </si>
  <si>
    <t>補休</t>
    <phoneticPr fontId="1" type="noConversion"/>
  </si>
  <si>
    <t>5月累計
(0.5小時/單位)</t>
    <phoneticPr fontId="1" type="noConversion"/>
  </si>
  <si>
    <t>五月累計單位
(0.5小時/單位)</t>
    <phoneticPr fontId="1" type="noConversion"/>
  </si>
  <si>
    <t>五月累計
(0.5小時/單位)</t>
    <phoneticPr fontId="1" type="noConversion"/>
  </si>
  <si>
    <t>△</t>
    <phoneticPr fontId="1" type="noConversion"/>
  </si>
  <si>
    <t>◎</t>
    <phoneticPr fontId="1" type="noConversion"/>
  </si>
  <si>
    <t>◎</t>
    <phoneticPr fontId="1" type="noConversion"/>
  </si>
  <si>
    <t>△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</si>
  <si>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</si>
  <si>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</si>
  <si>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</si>
  <si>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 xml:space="preserve">4.第2項之天數如因任務/出差等因素未休完則由主管依個案處理。 </t>
    <phoneticPr fontId="1" type="noConversion"/>
  </si>
  <si>
    <t>7.此補休辦法(填出勤確認單)請大家一起維護，被人資發現告發後此單位時數一但被歸零則無法補發。</t>
    <phoneticPr fontId="1" type="noConversion"/>
  </si>
  <si>
    <t xml:space="preserve">1.當年度6月後累計天數超過96單位(6天)之人員，定期通知提醒該員按時休假。 </t>
    <phoneticPr fontId="1" type="noConversion"/>
  </si>
  <si>
    <r>
      <t>2.當年度年底(12/31)未休完之單位時數可累計至下年度前3個月使用，最高累計單位時數為</t>
    </r>
    <r>
      <rPr>
        <b/>
        <i/>
        <u/>
        <sz val="12"/>
        <color rgb="FF0070C0"/>
        <rFont val="新細明體"/>
        <family val="1"/>
        <charset val="136"/>
        <scheme val="minor"/>
      </rPr>
      <t>112單位(7天)</t>
    </r>
    <r>
      <rPr>
        <sz val="12"/>
        <color rgb="FF0070C0"/>
        <rFont val="新細明體"/>
        <family val="1"/>
        <charset val="136"/>
        <scheme val="minor"/>
      </rPr>
      <t xml:space="preserve">，超過則不採計。 </t>
    </r>
    <phoneticPr fontId="1" type="noConversion"/>
  </si>
  <si>
    <r>
      <t>3.第2項之天數未依規定休完則直接</t>
    </r>
    <r>
      <rPr>
        <b/>
        <i/>
        <u/>
        <sz val="12"/>
        <color rgb="FF0070C0"/>
        <rFont val="新細明體"/>
        <family val="1"/>
        <charset val="136"/>
        <scheme val="minor"/>
      </rPr>
      <t>歸零</t>
    </r>
    <r>
      <rPr>
        <sz val="12"/>
        <color rgb="FF0070C0"/>
        <rFont val="新細明體"/>
        <family val="1"/>
        <charset val="136"/>
        <scheme val="minor"/>
      </rPr>
      <t>計。</t>
    </r>
    <phoneticPr fontId="1" type="noConversion"/>
  </si>
  <si>
    <r>
      <t>5.提報加班時數超過</t>
    </r>
    <r>
      <rPr>
        <b/>
        <i/>
        <u/>
        <sz val="12"/>
        <color rgb="FF0070C0"/>
        <rFont val="新細明體"/>
        <family val="1"/>
        <charset val="136"/>
        <scheme val="minor"/>
      </rPr>
      <t>3單位</t>
    </r>
    <r>
      <rPr>
        <sz val="12"/>
        <color rgb="FF0070C0"/>
        <rFont val="新細明體"/>
        <family val="1"/>
        <charset val="136"/>
        <scheme val="minor"/>
      </rPr>
      <t>請填寫上加班原因(例: 3單位，XXX專案DOE)。</t>
    </r>
    <phoneticPr fontId="1" type="noConversion"/>
  </si>
  <si>
    <r>
      <t>6.請補休(填出勤確認單)最長連續時數以</t>
    </r>
    <r>
      <rPr>
        <b/>
        <i/>
        <u/>
        <sz val="12"/>
        <color rgb="FF0070C0"/>
        <rFont val="新細明體"/>
        <family val="1"/>
        <charset val="136"/>
        <scheme val="minor"/>
      </rPr>
      <t>16單位(1天)</t>
    </r>
    <r>
      <rPr>
        <sz val="12"/>
        <color rgb="FF0070C0"/>
        <rFont val="新細明體"/>
        <family val="1"/>
        <charset val="136"/>
        <scheme val="minor"/>
      </rPr>
      <t>為上限(填出勤單不要超過1天以上)。</t>
    </r>
    <phoneticPr fontId="1" type="noConversion"/>
  </si>
  <si>
    <t>△</t>
    <phoneticPr fontId="1" type="noConversion"/>
  </si>
  <si>
    <t>◎</t>
    <phoneticPr fontId="1" type="noConversion"/>
  </si>
  <si>
    <t>6月累計
(0.5小時/單位)</t>
    <phoneticPr fontId="1" type="noConversion"/>
  </si>
  <si>
    <t>6月累計
(0.5小時/單位)</t>
    <phoneticPr fontId="1" type="noConversion"/>
  </si>
  <si>
    <t>外出</t>
    <phoneticPr fontId="1" type="noConversion"/>
  </si>
  <si>
    <t>◎</t>
    <phoneticPr fontId="1" type="noConversion"/>
  </si>
  <si>
    <t>出差</t>
    <phoneticPr fontId="1" type="noConversion"/>
  </si>
  <si>
    <t>出差</t>
    <phoneticPr fontId="1" type="noConversion"/>
  </si>
  <si>
    <t xml:space="preserve">◎ </t>
    <phoneticPr fontId="1" type="noConversion"/>
  </si>
  <si>
    <t>◎</t>
    <phoneticPr fontId="1" type="noConversion"/>
  </si>
  <si>
    <t>補休</t>
    <phoneticPr fontId="1" type="noConversion"/>
  </si>
  <si>
    <t>◎</t>
    <phoneticPr fontId="1" type="noConversion"/>
  </si>
  <si>
    <t>◎</t>
    <phoneticPr fontId="1" type="noConversion"/>
  </si>
  <si>
    <t>郭先弘</t>
    <phoneticPr fontId="1" type="noConversion"/>
  </si>
  <si>
    <t>何彥璋</t>
    <phoneticPr fontId="1" type="noConversion"/>
  </si>
  <si>
    <t>△</t>
    <phoneticPr fontId="1" type="noConversion"/>
  </si>
  <si>
    <t>出差</t>
    <phoneticPr fontId="1" type="noConversion"/>
  </si>
  <si>
    <t>△</t>
    <phoneticPr fontId="1" type="noConversion"/>
  </si>
  <si>
    <t>△</t>
    <phoneticPr fontId="1" type="noConversion"/>
  </si>
  <si>
    <t xml:space="preserve">◎ </t>
    <phoneticPr fontId="1" type="noConversion"/>
  </si>
  <si>
    <t>X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</si>
  <si>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</si>
  <si>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</si>
  <si>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</si>
  <si>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</si>
  <si>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 xml:space="preserve">◎ </t>
    <phoneticPr fontId="1" type="noConversion"/>
  </si>
  <si>
    <t xml:space="preserve">◎ </t>
    <phoneticPr fontId="1" type="noConversion"/>
  </si>
  <si>
    <t xml:space="preserve">◎ </t>
    <phoneticPr fontId="1" type="noConversion"/>
  </si>
  <si>
    <t>△</t>
    <phoneticPr fontId="1" type="noConversion"/>
  </si>
  <si>
    <t xml:space="preserve">◎ </t>
    <phoneticPr fontId="1" type="noConversion"/>
  </si>
  <si>
    <t>◎</t>
    <phoneticPr fontId="1" type="noConversion"/>
  </si>
  <si>
    <t>△</t>
    <phoneticPr fontId="1" type="noConversion"/>
  </si>
  <si>
    <t>✓</t>
    <phoneticPr fontId="1" type="noConversion"/>
  </si>
  <si>
    <t xml:space="preserve">◎ </t>
    <phoneticPr fontId="1" type="noConversion"/>
  </si>
  <si>
    <t>六月累計單位
(0.5小時/單位)</t>
    <phoneticPr fontId="1" type="noConversion"/>
  </si>
  <si>
    <t>七月累計單位
(0.5小時/單位)</t>
    <phoneticPr fontId="1" type="noConversion"/>
  </si>
  <si>
    <t xml:space="preserve">◎ </t>
    <phoneticPr fontId="1" type="noConversion"/>
  </si>
  <si>
    <t>△</t>
    <phoneticPr fontId="1" type="noConversion"/>
  </si>
  <si>
    <t xml:space="preserve">◎ </t>
    <phoneticPr fontId="1" type="noConversion"/>
  </si>
  <si>
    <t xml:space="preserve">◎ </t>
    <phoneticPr fontId="1" type="noConversion"/>
  </si>
  <si>
    <t>△</t>
    <phoneticPr fontId="1" type="noConversion"/>
  </si>
  <si>
    <t>外出</t>
    <phoneticPr fontId="1" type="noConversion"/>
  </si>
  <si>
    <t xml:space="preserve">◎ </t>
    <phoneticPr fontId="1" type="noConversion"/>
  </si>
  <si>
    <t>外出</t>
    <phoneticPr fontId="1" type="noConversion"/>
  </si>
  <si>
    <t>◎</t>
    <phoneticPr fontId="1" type="noConversion"/>
  </si>
  <si>
    <t>◎</t>
    <phoneticPr fontId="1" type="noConversion"/>
  </si>
  <si>
    <t>特休</t>
    <phoneticPr fontId="1" type="noConversion"/>
  </si>
  <si>
    <t>△</t>
    <phoneticPr fontId="1" type="noConversion"/>
  </si>
  <si>
    <t>出差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</si>
  <si>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</si>
  <si>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</si>
  <si>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</si>
  <si>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 xml:space="preserve">◎ </t>
    <phoneticPr fontId="1" type="noConversion"/>
  </si>
  <si>
    <t xml:space="preserve">◎ </t>
    <phoneticPr fontId="1" type="noConversion"/>
  </si>
  <si>
    <t xml:space="preserve">◎ </t>
    <phoneticPr fontId="1" type="noConversion"/>
  </si>
  <si>
    <t>✓</t>
    <phoneticPr fontId="1" type="noConversion"/>
  </si>
  <si>
    <t>◎</t>
    <phoneticPr fontId="1" type="noConversion"/>
  </si>
  <si>
    <t>病假</t>
    <phoneticPr fontId="1" type="noConversion"/>
  </si>
  <si>
    <t>出差</t>
    <phoneticPr fontId="1" type="noConversion"/>
  </si>
  <si>
    <t>外出</t>
    <phoneticPr fontId="1" type="noConversion"/>
  </si>
  <si>
    <t>✓</t>
    <phoneticPr fontId="1" type="noConversion"/>
  </si>
  <si>
    <t xml:space="preserve">◎ </t>
    <phoneticPr fontId="1" type="noConversion"/>
  </si>
  <si>
    <t>特休</t>
  </si>
  <si>
    <t>特休</t>
    <phoneticPr fontId="1" type="noConversion"/>
  </si>
  <si>
    <t>特休</t>
    <phoneticPr fontId="1" type="noConversion"/>
  </si>
  <si>
    <t>8月累計
(0.5小時/單位)</t>
    <phoneticPr fontId="1" type="noConversion"/>
  </si>
  <si>
    <t>7月累計
(0.5小時/單位)</t>
    <phoneticPr fontId="1" type="noConversion"/>
  </si>
  <si>
    <t xml:space="preserve">◎ </t>
    <phoneticPr fontId="1" type="noConversion"/>
  </si>
  <si>
    <t xml:space="preserve">◎ </t>
    <phoneticPr fontId="1" type="noConversion"/>
  </si>
  <si>
    <t>特休</t>
    <phoneticPr fontId="1" type="noConversion"/>
  </si>
  <si>
    <t xml:space="preserve">◎ </t>
    <phoneticPr fontId="1" type="noConversion"/>
  </si>
  <si>
    <t>◎</t>
    <phoneticPr fontId="1" type="noConversion"/>
  </si>
  <si>
    <t>✓</t>
    <phoneticPr fontId="1" type="noConversion"/>
  </si>
  <si>
    <t>✓</t>
    <phoneticPr fontId="1" type="noConversion"/>
  </si>
  <si>
    <t xml:space="preserve">◎ </t>
    <phoneticPr fontId="1" type="noConversion"/>
  </si>
  <si>
    <t>△</t>
    <phoneticPr fontId="1" type="noConversion"/>
  </si>
  <si>
    <t>◎</t>
    <phoneticPr fontId="1" type="noConversion"/>
  </si>
  <si>
    <t>◎</t>
    <phoneticPr fontId="1" type="noConversion"/>
  </si>
  <si>
    <t>特休</t>
    <phoneticPr fontId="1" type="noConversion"/>
  </si>
  <si>
    <t>喪假</t>
    <phoneticPr fontId="1" type="noConversion"/>
  </si>
  <si>
    <t>△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</si>
  <si>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</si>
  <si>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</si>
  <si>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</si>
  <si>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✓</t>
    <phoneticPr fontId="1" type="noConversion"/>
  </si>
  <si>
    <t>特休</t>
    <phoneticPr fontId="1" type="noConversion"/>
  </si>
  <si>
    <t xml:space="preserve">◎ </t>
    <phoneticPr fontId="1" type="noConversion"/>
  </si>
  <si>
    <t xml:space="preserve">◎ </t>
    <phoneticPr fontId="1" type="noConversion"/>
  </si>
  <si>
    <t xml:space="preserve">◎ </t>
    <phoneticPr fontId="1" type="noConversion"/>
  </si>
  <si>
    <t>✓</t>
    <phoneticPr fontId="1" type="noConversion"/>
  </si>
  <si>
    <t>9月累計
(0.5小時/單位)</t>
    <phoneticPr fontId="1" type="noConversion"/>
  </si>
  <si>
    <t>特休</t>
    <phoneticPr fontId="1" type="noConversion"/>
  </si>
  <si>
    <t>△</t>
    <phoneticPr fontId="1" type="noConversion"/>
  </si>
  <si>
    <t xml:space="preserve">◎ </t>
    <phoneticPr fontId="1" type="noConversion"/>
  </si>
  <si>
    <t xml:space="preserve">◎ </t>
    <phoneticPr fontId="1" type="noConversion"/>
  </si>
  <si>
    <t>出差</t>
    <phoneticPr fontId="1" type="noConversion"/>
  </si>
  <si>
    <t>特休</t>
    <phoneticPr fontId="1" type="noConversion"/>
  </si>
  <si>
    <t>李威漢</t>
    <phoneticPr fontId="1" type="noConversion"/>
  </si>
  <si>
    <t>✓</t>
    <phoneticPr fontId="1" type="noConversion"/>
  </si>
  <si>
    <t xml:space="preserve">◎ </t>
    <phoneticPr fontId="1" type="noConversion"/>
  </si>
  <si>
    <t>✓</t>
    <phoneticPr fontId="1" type="noConversion"/>
  </si>
  <si>
    <t>請假</t>
    <phoneticPr fontId="1" type="noConversion"/>
  </si>
  <si>
    <t>NA</t>
    <phoneticPr fontId="1" type="noConversion"/>
  </si>
  <si>
    <t>特休</t>
    <phoneticPr fontId="1" type="noConversion"/>
  </si>
  <si>
    <t xml:space="preserve">◎ </t>
    <phoneticPr fontId="1" type="noConversion"/>
  </si>
  <si>
    <t xml:space="preserve">◎ </t>
    <phoneticPr fontId="1" type="noConversion"/>
  </si>
  <si>
    <t xml:space="preserve">◎ </t>
    <phoneticPr fontId="1" type="noConversion"/>
  </si>
  <si>
    <t>◎</t>
    <phoneticPr fontId="1" type="noConversion"/>
  </si>
  <si>
    <t>◎</t>
    <phoneticPr fontId="1" type="noConversion"/>
  </si>
  <si>
    <t>✓</t>
    <phoneticPr fontId="1" type="noConversion"/>
  </si>
  <si>
    <t>◎</t>
    <phoneticPr fontId="1" type="noConversion"/>
  </si>
  <si>
    <t>特休</t>
    <phoneticPr fontId="1" type="noConversion"/>
  </si>
  <si>
    <t>◎</t>
    <phoneticPr fontId="1" type="noConversion"/>
  </si>
  <si>
    <t>喪假</t>
    <phoneticPr fontId="1" type="noConversion"/>
  </si>
  <si>
    <t>△</t>
    <phoneticPr fontId="1" type="noConversion"/>
  </si>
  <si>
    <t>9月累計
(0.5小時/單位)</t>
    <phoneticPr fontId="1" type="noConversion"/>
  </si>
  <si>
    <t>10月累計
(0.5小時/單位)</t>
    <phoneticPr fontId="1" type="noConversion"/>
  </si>
  <si>
    <t>10月累計
(0.5小時/單位)</t>
    <phoneticPr fontId="1" type="noConversion"/>
  </si>
  <si>
    <t xml:space="preserve">◎ </t>
    <phoneticPr fontId="1" type="noConversion"/>
  </si>
  <si>
    <t>請假</t>
    <phoneticPr fontId="1" type="noConversion"/>
  </si>
  <si>
    <t xml:space="preserve">◎ </t>
    <phoneticPr fontId="1" type="noConversion"/>
  </si>
  <si>
    <t>✓</t>
    <phoneticPr fontId="1" type="noConversion"/>
  </si>
  <si>
    <t>✓</t>
    <phoneticPr fontId="1" type="noConversion"/>
  </si>
  <si>
    <t>◎</t>
    <phoneticPr fontId="1" type="noConversion"/>
  </si>
  <si>
    <t>△</t>
  </si>
  <si>
    <t xml:space="preserve">◎ </t>
  </si>
  <si>
    <t>外出</t>
    <phoneticPr fontId="1" type="noConversion"/>
  </si>
  <si>
    <t>王挺翰</t>
    <phoneticPr fontId="1" type="noConversion"/>
  </si>
  <si>
    <t xml:space="preserve">◎ </t>
    <phoneticPr fontId="1" type="noConversion"/>
  </si>
  <si>
    <t>特休</t>
    <phoneticPr fontId="1" type="noConversion"/>
  </si>
  <si>
    <t>外出</t>
    <phoneticPr fontId="1" type="noConversion"/>
  </si>
  <si>
    <t>1月累計
(0.5小時/單位)</t>
    <phoneticPr fontId="1" type="noConversion"/>
  </si>
  <si>
    <t>總累計
(0.5小時/單位)</t>
    <phoneticPr fontId="1" type="noConversion"/>
  </si>
  <si>
    <t>TP出勤-請假</t>
    <phoneticPr fontId="1" type="noConversion"/>
  </si>
  <si>
    <t>TP出勤-加班</t>
    <phoneticPr fontId="1" type="noConversion"/>
  </si>
  <si>
    <t>2024月份請假直條圖(1~10月)</t>
    <phoneticPr fontId="1" type="noConversion"/>
  </si>
  <si>
    <t>2024月份加班直條圖(1~10月)</t>
    <phoneticPr fontId="1" type="noConversion"/>
  </si>
  <si>
    <t>2024月份加班減請假直條圖(1~10月)</t>
    <phoneticPr fontId="1" type="noConversion"/>
  </si>
  <si>
    <t>TP出勤-加班減請假</t>
    <phoneticPr fontId="1" type="noConversion"/>
  </si>
  <si>
    <t>TP出勤-2023+2024</t>
    <phoneticPr fontId="1" type="noConversion"/>
  </si>
  <si>
    <t>2023+2024加班減請假總合直條圖</t>
    <phoneticPr fontId="1" type="noConversion"/>
  </si>
  <si>
    <t>2月累計
(0.5小時/單位)</t>
    <phoneticPr fontId="1" type="noConversion"/>
  </si>
  <si>
    <t>3月累計
(0.5小時/單位)</t>
    <phoneticPr fontId="1" type="noConversion"/>
  </si>
  <si>
    <t>4月累計
(0.5小時/單位)</t>
    <phoneticPr fontId="1" type="noConversion"/>
  </si>
  <si>
    <t>5月累計
(0.5小時/單位)</t>
    <phoneticPr fontId="1" type="noConversion"/>
  </si>
  <si>
    <t>8月累計
(0.5小時/單位)</t>
    <phoneticPr fontId="1" type="noConversion"/>
  </si>
  <si>
    <t>9月累計
(0.5小時/單位)</t>
    <phoneticPr fontId="1" type="noConversion"/>
  </si>
  <si>
    <t>10月累計
(0.5小時/單位)</t>
    <phoneticPr fontId="1" type="noConversion"/>
  </si>
  <si>
    <t>11月累計
(0.5小時/單位)</t>
    <phoneticPr fontId="1" type="noConversion"/>
  </si>
  <si>
    <t>12月累計
(0.5小時/單位)</t>
    <phoneticPr fontId="1" type="noConversion"/>
  </si>
  <si>
    <t>2月累計
(0.5小時/單位)</t>
    <phoneticPr fontId="1" type="noConversion"/>
  </si>
  <si>
    <t>2023+2024
總累計單位
(0.5小時/單位)</t>
    <phoneticPr fontId="1" type="noConversion"/>
  </si>
  <si>
    <t xml:space="preserve">◎ </t>
    <phoneticPr fontId="1" type="noConversion"/>
  </si>
  <si>
    <t>出差</t>
    <phoneticPr fontId="1" type="noConversion"/>
  </si>
  <si>
    <t>請假</t>
  </si>
  <si>
    <t>請假</t>
    <phoneticPr fontId="1" type="noConversion"/>
  </si>
  <si>
    <t>△</t>
    <phoneticPr fontId="1" type="noConversion"/>
  </si>
  <si>
    <r>
      <rPr>
        <sz val="12"/>
        <color theme="1"/>
        <rFont val="Segoe UI Symbol"/>
        <family val="2"/>
      </rPr>
      <t>◎</t>
    </r>
    <r>
      <rPr>
        <sz val="12"/>
        <color theme="1"/>
        <rFont val="Calibri"/>
        <family val="2"/>
      </rPr>
      <t xml:space="preserve"> </t>
    </r>
    <phoneticPr fontId="1" type="noConversion"/>
  </si>
  <si>
    <t xml:space="preserve">◎ </t>
    <phoneticPr fontId="1" type="noConversion"/>
  </si>
  <si>
    <t>黃嘉尉</t>
    <phoneticPr fontId="1" type="noConversion"/>
  </si>
  <si>
    <t>✓</t>
    <phoneticPr fontId="1" type="noConversion"/>
  </si>
  <si>
    <t xml:space="preserve">◎ </t>
    <phoneticPr fontId="1" type="noConversion"/>
  </si>
  <si>
    <t xml:space="preserve">◎ </t>
    <phoneticPr fontId="1" type="noConversion"/>
  </si>
  <si>
    <t>△</t>
    <phoneticPr fontId="1" type="noConversion"/>
  </si>
  <si>
    <t>八月累計單位
(0.5小時/單位)</t>
    <phoneticPr fontId="1" type="noConversion"/>
  </si>
  <si>
    <t>九月累計單位
(0.5小時/單位)</t>
    <phoneticPr fontId="1" type="noConversion"/>
  </si>
  <si>
    <t>十月累計單位
(0.5小時/單位)</t>
    <phoneticPr fontId="1" type="noConversion"/>
  </si>
  <si>
    <t>十一月累計單位
(0.5小時/單位)</t>
    <phoneticPr fontId="1" type="noConversion"/>
  </si>
  <si>
    <t>十二月累計單位
(0.5小時/單位)</t>
    <phoneticPr fontId="1" type="noConversion"/>
  </si>
  <si>
    <t>李又誠</t>
    <phoneticPr fontId="1" type="noConversion"/>
  </si>
  <si>
    <t>請假</t>
    <phoneticPr fontId="1" type="noConversion"/>
  </si>
  <si>
    <r>
      <t>◎</t>
    </r>
    <r>
      <rPr>
        <sz val="12"/>
        <color theme="1"/>
        <rFont val="Calibri"/>
        <family val="2"/>
      </rPr>
      <t xml:space="preserve"> </t>
    </r>
    <phoneticPr fontId="1" type="noConversion"/>
  </si>
  <si>
    <t>劉益豪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</si>
</sst>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_ "/>
  </numFmts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MS Gothic"/>
      <family val="3"/>
      <charset val="128"/>
    </font>
    <font>
      <sz val="12"/>
      <color theme="1"/>
      <name val="新細明體"/>
      <family val="2"/>
      <charset val="136"/>
    </font>
    <font>
      <sz val="12"/>
      <color rgb="FFFF0000"/>
      <name val="MS Gothic"/>
      <family val="3"/>
      <charset val="128"/>
    </font>
    <font>
      <sz val="12"/>
      <color theme="1"/>
      <name val="MS Gothic"/>
      <family val="3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0070C0"/>
      <name val="新細明體"/>
      <family val="1"/>
      <charset val="136"/>
      <scheme val="minor"/>
    </font>
    <font>
      <b/>
      <i/>
      <u/>
      <sz val="12"/>
      <color rgb="FF0070C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2"/>
      <color theme="1"/>
      <name val="Segoe UI Symbol"/>
      <family val="3"/>
    </font>
    <font>
      <sz val="12"/>
      <color theme="1"/>
      <name val="新細明體"/>
      <family val="2"/>
      <scheme val="minor"/>
    </font>
    <font>
      <sz val="12"/>
      <color theme="1"/>
      <name val="Segoe UI Symbol"/>
      <family val="2"/>
    </font>
    <font>
      <sz val="12"/>
      <color theme="1"/>
      <name val="細明體"/>
      <family val="2"/>
      <charset val="136"/>
    </font>
    <font>
      <sz val="12"/>
      <color theme="1"/>
      <name val="Calibri"/>
      <family val="2"/>
    </font>
    <font>
      <b/>
      <sz val="12"/>
      <color rgb="FFFF0000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>
      <alignment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77" fontId="15" fillId="0" borderId="0" xfId="0" applyNumberFormat="1" applyFont="1">
      <alignment vertical="center"/>
    </xf>
    <xf numFmtId="177" fontId="22" fillId="0" borderId="0" xfId="0" applyNumberFormat="1" applyFo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一般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opLeftCell="A10" zoomScale="70" zoomScaleNormal="70" workbookViewId="0">
      <selection activeCell="M59" sqref="M59"/>
    </sheetView>
  </sheetViews>
  <sheetFormatPr baseColWidth="10" defaultColWidth="8.83203125" defaultRowHeight="15"/>
  <cols>
    <col min="1" max="1" width="5.1640625" bestFit="1" customWidth="1"/>
    <col min="2" max="2" width="8.1640625" bestFit="1" customWidth="1"/>
    <col min="3" max="13" width="15.33203125" customWidth="1"/>
    <col min="14" max="15" width="13.33203125" hidden="1" customWidth="1"/>
    <col min="16" max="16" width="124.5" customWidth="1"/>
  </cols>
  <sheetData>
    <row r="1" spans="1:16" ht="24" customHeight="1">
      <c r="A1" s="39" t="s">
        <v>307</v>
      </c>
      <c r="B1" s="39"/>
      <c r="C1" s="37" t="s">
        <v>306</v>
      </c>
      <c r="D1" s="37" t="s">
        <v>305</v>
      </c>
      <c r="E1" s="37" t="s">
        <v>315</v>
      </c>
      <c r="F1" s="37" t="s">
        <v>316</v>
      </c>
      <c r="G1" s="37" t="s">
        <v>317</v>
      </c>
      <c r="H1" s="37" t="s">
        <v>318</v>
      </c>
      <c r="I1" s="37" t="s">
        <v>176</v>
      </c>
      <c r="J1" s="37" t="s">
        <v>240</v>
      </c>
      <c r="K1" s="37" t="s">
        <v>319</v>
      </c>
      <c r="L1" s="37" t="s">
        <v>320</v>
      </c>
      <c r="M1" s="37" t="s">
        <v>321</v>
      </c>
      <c r="N1" s="37" t="s">
        <v>322</v>
      </c>
      <c r="O1" s="37" t="s">
        <v>323</v>
      </c>
      <c r="P1" s="40" t="s">
        <v>309</v>
      </c>
    </row>
    <row r="2" spans="1:16" ht="16.25" customHeight="1">
      <c r="A2" s="1" t="s">
        <v>1</v>
      </c>
      <c r="B2" s="1" t="s">
        <v>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40"/>
    </row>
    <row r="3" spans="1:16" ht="30" customHeight="1">
      <c r="A3" s="1">
        <v>1</v>
      </c>
      <c r="B3" s="1" t="s">
        <v>3</v>
      </c>
      <c r="C3" s="1">
        <f>SUM(D3:O3)</f>
        <v>0</v>
      </c>
      <c r="D3" s="1">
        <f>TP1月份請假!C3</f>
        <v>0</v>
      </c>
      <c r="E3" s="1">
        <f>TP2月份請假!C3</f>
        <v>0</v>
      </c>
      <c r="F3" s="1">
        <f>TP3月份請假!C3</f>
        <v>0</v>
      </c>
      <c r="G3" s="1">
        <f>TP4月份請假!C3</f>
        <v>0</v>
      </c>
      <c r="H3" s="1">
        <f>TP5月份請假!C3</f>
        <v>0</v>
      </c>
      <c r="I3" s="1">
        <f>TP6月份請假!C3</f>
        <v>0</v>
      </c>
      <c r="J3" s="1">
        <f>TP7月份請假!C3</f>
        <v>0</v>
      </c>
      <c r="K3" s="1">
        <f>TP8月份請假!C3</f>
        <v>0</v>
      </c>
      <c r="L3" s="1">
        <f>TP9月份請假!C3</f>
        <v>0</v>
      </c>
      <c r="M3" s="1">
        <f>TP10月份請假!C3</f>
        <v>0</v>
      </c>
      <c r="N3" s="1"/>
      <c r="O3" s="1"/>
    </row>
    <row r="4" spans="1:16" ht="30" customHeight="1">
      <c r="A4" s="1">
        <v>2</v>
      </c>
      <c r="B4" s="1" t="s">
        <v>4</v>
      </c>
      <c r="C4" s="1">
        <f t="shared" ref="C4:C18" si="0">SUM(D4:O4)</f>
        <v>151</v>
      </c>
      <c r="D4" s="1">
        <f>TP1月份請假!C4</f>
        <v>0</v>
      </c>
      <c r="E4" s="1">
        <f>TP2月份請假!C4</f>
        <v>23</v>
      </c>
      <c r="F4" s="1">
        <f>TP3月份請假!C4</f>
        <v>17</v>
      </c>
      <c r="G4" s="1">
        <f>TP4月份請假!C4</f>
        <v>8</v>
      </c>
      <c r="H4" s="1">
        <f>TP5月份請假!C4</f>
        <v>0</v>
      </c>
      <c r="I4" s="1">
        <f>TP6月份請假!C4</f>
        <v>16</v>
      </c>
      <c r="J4" s="1">
        <f>TP7月份請假!C4</f>
        <v>16</v>
      </c>
      <c r="K4" s="1">
        <f>TP8月份請假!C4</f>
        <v>7</v>
      </c>
      <c r="L4" s="1">
        <f>TP9月份請假!C4</f>
        <v>35</v>
      </c>
      <c r="M4" s="1">
        <f>TP10月份請假!C4</f>
        <v>29</v>
      </c>
      <c r="N4" s="1"/>
      <c r="O4" s="1"/>
    </row>
    <row r="5" spans="1:16" ht="30" customHeight="1">
      <c r="A5" s="1">
        <v>3</v>
      </c>
      <c r="B5" s="1" t="s">
        <v>5</v>
      </c>
      <c r="C5" s="1">
        <f t="shared" si="0"/>
        <v>156</v>
      </c>
      <c r="D5" s="1">
        <f>TP1月份請假!C5</f>
        <v>20</v>
      </c>
      <c r="E5" s="1">
        <f>TP2月份請假!C5</f>
        <v>9</v>
      </c>
      <c r="F5" s="1">
        <f>TP3月份請假!C5</f>
        <v>38</v>
      </c>
      <c r="G5" s="1">
        <f>TP4月份請假!C5</f>
        <v>32</v>
      </c>
      <c r="H5" s="1">
        <f>TP5月份請假!C5</f>
        <v>5</v>
      </c>
      <c r="I5" s="1">
        <f>TP6月份請假!C5</f>
        <v>0</v>
      </c>
      <c r="J5" s="1">
        <f>TP7月份請假!C5</f>
        <v>21</v>
      </c>
      <c r="K5" s="1">
        <f>TP8月份請假!C5</f>
        <v>9</v>
      </c>
      <c r="L5" s="1">
        <f>TP9月份請假!C5</f>
        <v>10</v>
      </c>
      <c r="M5" s="1">
        <f>TP10月份請假!C5</f>
        <v>12</v>
      </c>
      <c r="N5" s="1"/>
      <c r="O5" s="1"/>
    </row>
    <row r="6" spans="1:16" ht="30" customHeight="1">
      <c r="A6" s="1">
        <v>4</v>
      </c>
      <c r="B6" s="1" t="s">
        <v>6</v>
      </c>
      <c r="C6" s="1">
        <f t="shared" si="0"/>
        <v>206</v>
      </c>
      <c r="D6" s="1">
        <f>TP1月份請假!C6</f>
        <v>16</v>
      </c>
      <c r="E6" s="1">
        <f>TP2月份請假!C6</f>
        <v>40</v>
      </c>
      <c r="F6" s="1">
        <f>TP3月份請假!C6</f>
        <v>32</v>
      </c>
      <c r="G6" s="1">
        <f>TP4月份請假!C6</f>
        <v>0</v>
      </c>
      <c r="H6" s="1">
        <f>TP5月份請假!C6</f>
        <v>16</v>
      </c>
      <c r="I6" s="1">
        <f>TP6月份請假!C6</f>
        <v>32</v>
      </c>
      <c r="J6" s="1">
        <f>TP7月份請假!C6</f>
        <v>16</v>
      </c>
      <c r="K6" s="1">
        <f>TP8月份請假!C6</f>
        <v>0</v>
      </c>
      <c r="L6" s="1">
        <f>TP9月份請假!C6</f>
        <v>22</v>
      </c>
      <c r="M6" s="1">
        <f>TP10月份請假!C6</f>
        <v>32</v>
      </c>
      <c r="N6" s="1"/>
      <c r="O6" s="1"/>
    </row>
    <row r="7" spans="1:16" ht="30" customHeight="1">
      <c r="A7" s="1">
        <v>5</v>
      </c>
      <c r="B7" s="1" t="s">
        <v>7</v>
      </c>
      <c r="C7" s="1">
        <f t="shared" si="0"/>
        <v>157</v>
      </c>
      <c r="D7" s="1">
        <f>TP1月份請假!C7</f>
        <v>16</v>
      </c>
      <c r="E7" s="1">
        <f>TP2月份請假!C7</f>
        <v>21</v>
      </c>
      <c r="F7" s="1">
        <f>TP3月份請假!C7</f>
        <v>0</v>
      </c>
      <c r="G7" s="1">
        <f>TP4月份請假!C7</f>
        <v>32</v>
      </c>
      <c r="H7" s="1">
        <f>TP5月份請假!C7</f>
        <v>16</v>
      </c>
      <c r="I7" s="1">
        <f>TP6月份請假!C7</f>
        <v>16</v>
      </c>
      <c r="J7" s="1">
        <f>TP7月份請假!C7</f>
        <v>8</v>
      </c>
      <c r="K7" s="1">
        <f>TP8月份請假!C7</f>
        <v>16</v>
      </c>
      <c r="L7" s="1">
        <f>TP9月份請假!C7</f>
        <v>16</v>
      </c>
      <c r="M7" s="1">
        <f>TP10月份請假!C7</f>
        <v>16</v>
      </c>
      <c r="N7" s="1"/>
      <c r="O7" s="1"/>
    </row>
    <row r="8" spans="1:16" ht="30" customHeight="1">
      <c r="A8" s="1">
        <v>6</v>
      </c>
      <c r="B8" s="1" t="s">
        <v>8</v>
      </c>
      <c r="C8" s="1">
        <f t="shared" si="0"/>
        <v>219</v>
      </c>
      <c r="D8" s="1">
        <f>TP1月份請假!C8</f>
        <v>16</v>
      </c>
      <c r="E8" s="1">
        <f>TP2月份請假!C8</f>
        <v>8</v>
      </c>
      <c r="F8" s="1">
        <f>TP3月份請假!C8</f>
        <v>4</v>
      </c>
      <c r="G8" s="1">
        <f>TP4月份請假!C8</f>
        <v>0</v>
      </c>
      <c r="H8" s="1">
        <f>TP5月份請假!C8</f>
        <v>24</v>
      </c>
      <c r="I8" s="1">
        <f>TP6月份請假!C8</f>
        <v>39</v>
      </c>
      <c r="J8" s="1">
        <f>TP7月份請假!C8</f>
        <v>20</v>
      </c>
      <c r="K8" s="1">
        <f>TP8月份請假!C8</f>
        <v>24</v>
      </c>
      <c r="L8" s="1">
        <f>TP9月份請假!C8</f>
        <v>36</v>
      </c>
      <c r="M8" s="1">
        <f>TP10月份請假!C8</f>
        <v>48</v>
      </c>
      <c r="N8" s="1"/>
      <c r="O8" s="1"/>
    </row>
    <row r="9" spans="1:16" ht="30" customHeight="1">
      <c r="A9" s="1">
        <v>7</v>
      </c>
      <c r="B9" s="1" t="s">
        <v>9</v>
      </c>
      <c r="C9" s="1">
        <f t="shared" si="0"/>
        <v>292</v>
      </c>
      <c r="D9" s="1">
        <f>TP1月份請假!C9</f>
        <v>40</v>
      </c>
      <c r="E9" s="1">
        <f>TP2月份請假!C9</f>
        <v>46</v>
      </c>
      <c r="F9" s="1">
        <f>TP3月份請假!C9</f>
        <v>58</v>
      </c>
      <c r="G9" s="1">
        <f>TP4月份請假!C9</f>
        <v>5</v>
      </c>
      <c r="H9" s="1">
        <f>TP5月份請假!C9</f>
        <v>4</v>
      </c>
      <c r="I9" s="1">
        <f>TP6月份請假!C9</f>
        <v>33</v>
      </c>
      <c r="J9" s="1">
        <f>TP7月份請假!C9</f>
        <v>26</v>
      </c>
      <c r="K9" s="1">
        <f>TP8月份請假!C9</f>
        <v>48</v>
      </c>
      <c r="L9" s="1">
        <f>TP9月份請假!C9</f>
        <v>16</v>
      </c>
      <c r="M9" s="1">
        <f>TP10月份請假!C9</f>
        <v>16</v>
      </c>
      <c r="N9" s="1"/>
      <c r="O9" s="1"/>
    </row>
    <row r="10" spans="1:16" ht="30" customHeight="1">
      <c r="A10" s="1">
        <v>8</v>
      </c>
      <c r="B10" s="1" t="s">
        <v>10</v>
      </c>
      <c r="C10" s="1">
        <f t="shared" si="0"/>
        <v>100</v>
      </c>
      <c r="D10" s="1">
        <f>TP1月份請假!C10</f>
        <v>0</v>
      </c>
      <c r="E10" s="1">
        <f>TP2月份請假!C10</f>
        <v>56</v>
      </c>
      <c r="F10" s="1">
        <f>TP3月份請假!C10</f>
        <v>0</v>
      </c>
      <c r="G10" s="1">
        <f>TP4月份請假!C10</f>
        <v>0</v>
      </c>
      <c r="H10" s="1">
        <f>TP5月份請假!C10</f>
        <v>0</v>
      </c>
      <c r="I10" s="1">
        <f>TP6月份請假!C10</f>
        <v>16</v>
      </c>
      <c r="J10" s="1">
        <f>TP7月份請假!C10</f>
        <v>0</v>
      </c>
      <c r="K10" s="1">
        <f>TP8月份請假!C10</f>
        <v>24</v>
      </c>
      <c r="L10" s="1">
        <f>TP9月份請假!C10</f>
        <v>4</v>
      </c>
      <c r="M10" s="1">
        <f>TP10月份請假!C10</f>
        <v>0</v>
      </c>
      <c r="N10" s="1"/>
      <c r="O10" s="1"/>
    </row>
    <row r="11" spans="1:16" ht="30" customHeight="1">
      <c r="A11" s="1">
        <v>9</v>
      </c>
      <c r="B11" s="1" t="s">
        <v>11</v>
      </c>
      <c r="C11" s="1">
        <f t="shared" si="0"/>
        <v>199</v>
      </c>
      <c r="D11" s="1">
        <f>TP1月份請假!C11</f>
        <v>0</v>
      </c>
      <c r="E11" s="1">
        <f>TP2月份請假!C11</f>
        <v>32</v>
      </c>
      <c r="F11" s="1">
        <f>TP3月份請假!C11</f>
        <v>0</v>
      </c>
      <c r="G11" s="1">
        <f>TP4月份請假!C11</f>
        <v>39</v>
      </c>
      <c r="H11" s="1">
        <f>TP5月份請假!C11</f>
        <v>16</v>
      </c>
      <c r="I11" s="1">
        <f>TP6月份請假!C11</f>
        <v>32</v>
      </c>
      <c r="J11" s="1">
        <f>TP7月份請假!C11</f>
        <v>24</v>
      </c>
      <c r="K11" s="1">
        <f>TP8月份請假!C11</f>
        <v>0</v>
      </c>
      <c r="L11" s="1">
        <f>TP9月份請假!C11</f>
        <v>24</v>
      </c>
      <c r="M11" s="1">
        <f>TP10月份請假!C11</f>
        <v>32</v>
      </c>
      <c r="N11" s="1"/>
      <c r="O11" s="1"/>
    </row>
    <row r="12" spans="1:16" ht="30" customHeight="1">
      <c r="A12" s="1">
        <v>10</v>
      </c>
      <c r="B12" s="1" t="s">
        <v>12</v>
      </c>
      <c r="C12" s="1">
        <f t="shared" si="0"/>
        <v>96</v>
      </c>
      <c r="D12" s="1">
        <f>TP1月份請假!C12</f>
        <v>16</v>
      </c>
      <c r="E12" s="1">
        <f>TP2月份請假!C12</f>
        <v>0</v>
      </c>
      <c r="F12" s="1">
        <f>TP3月份請假!C12</f>
        <v>32</v>
      </c>
      <c r="G12" s="1">
        <f>TP4月份請假!C12</f>
        <v>0</v>
      </c>
      <c r="H12" s="1">
        <f>TP5月份請假!C12</f>
        <v>16</v>
      </c>
      <c r="I12" s="1">
        <f>TP6月份請假!C12</f>
        <v>16</v>
      </c>
      <c r="J12" s="1">
        <f>TP7月份請假!C12</f>
        <v>0</v>
      </c>
      <c r="K12" s="1">
        <f>TP8月份請假!C12</f>
        <v>0</v>
      </c>
      <c r="L12" s="1">
        <f>TP9月份請假!C12</f>
        <v>0</v>
      </c>
      <c r="M12" s="1">
        <f>TP10月份請假!C12</f>
        <v>16</v>
      </c>
      <c r="N12" s="1"/>
      <c r="O12" s="1"/>
    </row>
    <row r="13" spans="1:16" ht="30" customHeight="1">
      <c r="A13" s="1">
        <v>11</v>
      </c>
      <c r="B13" s="1" t="s">
        <v>13</v>
      </c>
      <c r="C13" s="1">
        <f t="shared" si="0"/>
        <v>282</v>
      </c>
      <c r="D13" s="1">
        <f>TP1月份請假!C13</f>
        <v>8</v>
      </c>
      <c r="E13" s="1">
        <f>TP2月份請假!C13</f>
        <v>93</v>
      </c>
      <c r="F13" s="1">
        <f>TP3月份請假!C13</f>
        <v>16</v>
      </c>
      <c r="G13" s="1">
        <f>TP4月份請假!C13</f>
        <v>22</v>
      </c>
      <c r="H13" s="1">
        <f>TP5月份請假!C13</f>
        <v>16</v>
      </c>
      <c r="I13" s="1">
        <f>TP6月份請假!C13</f>
        <v>0</v>
      </c>
      <c r="J13" s="1">
        <f>TP7月份請假!C13</f>
        <v>49</v>
      </c>
      <c r="K13" s="1">
        <f>TP8月份請假!C13</f>
        <v>32</v>
      </c>
      <c r="L13" s="1">
        <f>TP9月份請假!C13</f>
        <v>24</v>
      </c>
      <c r="M13" s="1">
        <f>TP10月份請假!C13</f>
        <v>22</v>
      </c>
      <c r="N13" s="1"/>
      <c r="O13" s="1"/>
    </row>
    <row r="14" spans="1:16" ht="30" customHeight="1">
      <c r="A14" s="1">
        <v>12</v>
      </c>
      <c r="B14" s="1" t="s">
        <v>14</v>
      </c>
      <c r="C14" s="1">
        <f t="shared" si="0"/>
        <v>166</v>
      </c>
      <c r="D14" s="1">
        <f>TP1月份請假!C14</f>
        <v>0</v>
      </c>
      <c r="E14" s="1">
        <f>TP2月份請假!C14</f>
        <v>32</v>
      </c>
      <c r="F14" s="1">
        <f>TP3月份請假!C14</f>
        <v>22</v>
      </c>
      <c r="G14" s="1">
        <f>TP4月份請假!C14</f>
        <v>16</v>
      </c>
      <c r="H14" s="1">
        <f>TP5月份請假!C14</f>
        <v>0</v>
      </c>
      <c r="I14" s="1">
        <f>TP6月份請假!C14</f>
        <v>48</v>
      </c>
      <c r="J14" s="1">
        <f>TP7月份請假!C14</f>
        <v>16</v>
      </c>
      <c r="K14" s="1">
        <f>TP8月份請假!C14</f>
        <v>16</v>
      </c>
      <c r="L14" s="1">
        <f>TP9月份請假!C14</f>
        <v>16</v>
      </c>
      <c r="M14" s="1">
        <f>TP10月份請假!C14</f>
        <v>0</v>
      </c>
      <c r="N14" s="1"/>
      <c r="O14" s="1"/>
    </row>
    <row r="15" spans="1:16" ht="30" customHeight="1">
      <c r="A15" s="1">
        <v>13</v>
      </c>
      <c r="B15" s="1" t="s">
        <v>15</v>
      </c>
      <c r="C15" s="1">
        <f t="shared" si="0"/>
        <v>138</v>
      </c>
      <c r="D15" s="1">
        <f>TP1月份請假!C15</f>
        <v>8</v>
      </c>
      <c r="E15" s="1">
        <f>TP2月份請假!C15</f>
        <v>56</v>
      </c>
      <c r="F15" s="1">
        <f>TP3月份請假!C15</f>
        <v>8</v>
      </c>
      <c r="G15" s="1">
        <f>TP4月份請假!C15</f>
        <v>12</v>
      </c>
      <c r="H15" s="1">
        <f>TP5月份請假!C15</f>
        <v>22</v>
      </c>
      <c r="I15" s="1">
        <f>TP6月份請假!C15</f>
        <v>16</v>
      </c>
      <c r="J15" s="1">
        <f>TP7月份請假!C15</f>
        <v>16</v>
      </c>
      <c r="K15" s="1">
        <f>TP8月份請假!C15</f>
        <v>0</v>
      </c>
      <c r="L15" s="1">
        <f>TP9月份請假!C15</f>
        <v>0</v>
      </c>
      <c r="M15" s="1">
        <f>TP10月份請假!C15</f>
        <v>0</v>
      </c>
      <c r="N15" s="1"/>
      <c r="O15" s="1"/>
    </row>
    <row r="16" spans="1:16" ht="30" customHeight="1">
      <c r="A16" s="1">
        <v>13</v>
      </c>
      <c r="B16" s="1" t="s">
        <v>16</v>
      </c>
      <c r="C16" s="1">
        <f t="shared" si="0"/>
        <v>182</v>
      </c>
      <c r="D16" s="1">
        <f>TP1月份請假!C16</f>
        <v>0</v>
      </c>
      <c r="E16" s="1">
        <f>TP2月份請假!C16</f>
        <v>40</v>
      </c>
      <c r="F16" s="1">
        <f>TP3月份請假!C16</f>
        <v>0</v>
      </c>
      <c r="G16" s="1">
        <f>TP4月份請假!C16</f>
        <v>33</v>
      </c>
      <c r="H16" s="1">
        <f>TP5月份請假!C16</f>
        <v>11</v>
      </c>
      <c r="I16" s="1">
        <f>TP6月份請假!C16</f>
        <v>21</v>
      </c>
      <c r="J16" s="1">
        <f>TP7月份請假!C16</f>
        <v>48</v>
      </c>
      <c r="K16" s="1">
        <f>TP8月份請假!C16</f>
        <v>0</v>
      </c>
      <c r="L16" s="1">
        <f>TP9月份請假!C16</f>
        <v>18</v>
      </c>
      <c r="M16" s="1">
        <f>TP10月份請假!C16</f>
        <v>11</v>
      </c>
      <c r="N16" s="1"/>
      <c r="O16" s="1"/>
    </row>
    <row r="17" spans="1:16" ht="30" customHeight="1">
      <c r="A17" s="1">
        <v>14</v>
      </c>
      <c r="B17" s="1" t="s">
        <v>271</v>
      </c>
      <c r="C17" s="1">
        <f t="shared" si="0"/>
        <v>0</v>
      </c>
      <c r="D17" s="1">
        <f>TP1月份請假!C17</f>
        <v>0</v>
      </c>
      <c r="E17" s="1">
        <f>TP2月份請假!C17</f>
        <v>0</v>
      </c>
      <c r="F17" s="1">
        <f>TP3月份請假!C17</f>
        <v>0</v>
      </c>
      <c r="G17" s="1">
        <f>TP4月份請假!C17</f>
        <v>0</v>
      </c>
      <c r="H17" s="1">
        <f>TP5月份請假!C17</f>
        <v>0</v>
      </c>
      <c r="I17" s="1">
        <f>TP6月份請假!C17</f>
        <v>0</v>
      </c>
      <c r="J17" s="1">
        <f>TP7月份請假!C17</f>
        <v>0</v>
      </c>
      <c r="K17" s="1">
        <f>TP8月份請假!C17</f>
        <v>0</v>
      </c>
      <c r="L17" s="1">
        <f>TP9月份請假!C17</f>
        <v>0</v>
      </c>
      <c r="M17" s="1">
        <f>TP10月份請假!C17</f>
        <v>0</v>
      </c>
      <c r="N17" s="1"/>
      <c r="O17" s="1"/>
    </row>
    <row r="18" spans="1:16" ht="30" customHeight="1">
      <c r="A18" s="1">
        <v>15</v>
      </c>
      <c r="B18" s="1" t="s">
        <v>301</v>
      </c>
      <c r="C18" s="1">
        <f t="shared" si="0"/>
        <v>0</v>
      </c>
      <c r="D18" s="1">
        <f>TP1月份請假!C18</f>
        <v>0</v>
      </c>
      <c r="E18" s="1">
        <f>TP2月份請假!C18</f>
        <v>0</v>
      </c>
      <c r="F18" s="1">
        <f>TP3月份請假!C18</f>
        <v>0</v>
      </c>
      <c r="G18" s="1">
        <f>TP4月份請假!C18</f>
        <v>0</v>
      </c>
      <c r="H18" s="1">
        <f>TP5月份請假!C18</f>
        <v>0</v>
      </c>
      <c r="I18" s="1">
        <f>TP6月份請假!C18</f>
        <v>0</v>
      </c>
      <c r="J18" s="1">
        <f>TP7月份請假!C18</f>
        <v>0</v>
      </c>
      <c r="K18" s="1">
        <f>TP8月份請假!C18</f>
        <v>0</v>
      </c>
      <c r="L18" s="1">
        <f>TP9月份請假!C18</f>
        <v>0</v>
      </c>
      <c r="M18" s="1">
        <f>TP10月份請假!C18</f>
        <v>0</v>
      </c>
      <c r="N18" s="1"/>
      <c r="O18" s="1"/>
    </row>
    <row r="19" spans="1:16" s="21" customFormat="1" ht="6" customHeight="1"/>
    <row r="20" spans="1:16" ht="24" customHeight="1">
      <c r="A20" s="41" t="s">
        <v>308</v>
      </c>
      <c r="B20" s="41"/>
      <c r="C20" s="37" t="s">
        <v>306</v>
      </c>
      <c r="D20" s="37" t="s">
        <v>305</v>
      </c>
      <c r="E20" s="37" t="s">
        <v>315</v>
      </c>
      <c r="F20" s="37" t="s">
        <v>316</v>
      </c>
      <c r="G20" s="37" t="s">
        <v>317</v>
      </c>
      <c r="H20" s="37" t="s">
        <v>318</v>
      </c>
      <c r="I20" s="37" t="s">
        <v>176</v>
      </c>
      <c r="J20" s="37" t="s">
        <v>240</v>
      </c>
      <c r="K20" s="37" t="s">
        <v>319</v>
      </c>
      <c r="L20" s="37" t="s">
        <v>320</v>
      </c>
      <c r="M20" s="37" t="s">
        <v>321</v>
      </c>
      <c r="N20" s="37" t="s">
        <v>322</v>
      </c>
      <c r="O20" s="37" t="s">
        <v>323</v>
      </c>
      <c r="P20" s="40" t="s">
        <v>310</v>
      </c>
    </row>
    <row r="21" spans="1:16">
      <c r="A21" s="1" t="s">
        <v>1</v>
      </c>
      <c r="B21" s="1" t="s">
        <v>2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40"/>
    </row>
    <row r="22" spans="1:16" ht="30" customHeight="1">
      <c r="A22" s="1">
        <v>1</v>
      </c>
      <c r="B22" s="1" t="s">
        <v>3</v>
      </c>
      <c r="C22" s="1">
        <f>SUM(D22:O22)</f>
        <v>0</v>
      </c>
      <c r="D22" s="1">
        <f>TP1月份加班!C3</f>
        <v>0</v>
      </c>
      <c r="E22" s="1">
        <f>TP2月份加班!C3</f>
        <v>0</v>
      </c>
      <c r="F22" s="1">
        <f>TP3月份加班!C3</f>
        <v>0</v>
      </c>
      <c r="G22" s="1">
        <f>TP4月份加班!C3</f>
        <v>0</v>
      </c>
      <c r="H22" s="1">
        <f>TP5月份加班!C3</f>
        <v>0</v>
      </c>
      <c r="I22" s="1">
        <f>TP6月份加班!C3</f>
        <v>0</v>
      </c>
      <c r="J22" s="1">
        <f>TP7月份加班!C3</f>
        <v>0</v>
      </c>
      <c r="K22" s="1">
        <f>TP8月份加班!C3</f>
        <v>0</v>
      </c>
      <c r="L22" s="1">
        <f>TP9月份加班!C3</f>
        <v>0</v>
      </c>
      <c r="M22" s="1">
        <f>TP10月份加班!C3</f>
        <v>0</v>
      </c>
      <c r="N22" s="1"/>
      <c r="O22" s="1"/>
    </row>
    <row r="23" spans="1:16" ht="30" customHeight="1">
      <c r="A23" s="1">
        <v>2</v>
      </c>
      <c r="B23" s="1" t="s">
        <v>4</v>
      </c>
      <c r="C23" s="1">
        <f t="shared" ref="C23:C36" si="1">SUM(D23:O23)</f>
        <v>50</v>
      </c>
      <c r="D23" s="1">
        <f>TP1月份加班!C4</f>
        <v>0</v>
      </c>
      <c r="E23" s="1">
        <f>TP2月份加班!C4</f>
        <v>0</v>
      </c>
      <c r="F23" s="1">
        <f>TP3月份加班!C4</f>
        <v>8</v>
      </c>
      <c r="G23" s="1">
        <f>TP4月份加班!C4</f>
        <v>5</v>
      </c>
      <c r="H23" s="1">
        <f>TP5月份加班!C4</f>
        <v>0</v>
      </c>
      <c r="I23" s="1">
        <f>TP6月份加班!C4</f>
        <v>8</v>
      </c>
      <c r="J23" s="1">
        <f>TP7月份加班!C4</f>
        <v>0</v>
      </c>
      <c r="K23" s="1">
        <f>TP8月份加班!C4</f>
        <v>29</v>
      </c>
      <c r="L23" s="1">
        <f>TP9月份加班!C4</f>
        <v>0</v>
      </c>
      <c r="M23" s="1">
        <f>TP10月份加班!C4</f>
        <v>0</v>
      </c>
      <c r="N23" s="1"/>
      <c r="O23" s="1"/>
    </row>
    <row r="24" spans="1:16" ht="30" customHeight="1">
      <c r="A24" s="1">
        <v>3</v>
      </c>
      <c r="B24" s="1" t="s">
        <v>5</v>
      </c>
      <c r="C24" s="1">
        <f t="shared" si="1"/>
        <v>62</v>
      </c>
      <c r="D24" s="1">
        <f>TP1月份加班!C5</f>
        <v>18</v>
      </c>
      <c r="E24" s="1">
        <f>TP2月份加班!C5</f>
        <v>0</v>
      </c>
      <c r="F24" s="1">
        <f>TP3月份加班!C5</f>
        <v>13</v>
      </c>
      <c r="G24" s="1">
        <f>TP4月份加班!C5</f>
        <v>0</v>
      </c>
      <c r="H24" s="1">
        <f>TP5月份加班!C5</f>
        <v>24</v>
      </c>
      <c r="I24" s="1">
        <f>TP6月份加班!C5</f>
        <v>1</v>
      </c>
      <c r="J24" s="1">
        <f>TP7月份加班!C5</f>
        <v>0</v>
      </c>
      <c r="K24" s="1">
        <f>TP8月份加班!C5</f>
        <v>6</v>
      </c>
      <c r="L24" s="1">
        <f>TP9月份加班!C5</f>
        <v>0</v>
      </c>
      <c r="M24" s="1">
        <f>TP10月份加班!C5</f>
        <v>0</v>
      </c>
      <c r="N24" s="1"/>
      <c r="O24" s="1"/>
    </row>
    <row r="25" spans="1:16" ht="30" customHeight="1">
      <c r="A25" s="1">
        <v>4</v>
      </c>
      <c r="B25" s="1" t="s">
        <v>6</v>
      </c>
      <c r="C25" s="1">
        <f t="shared" si="1"/>
        <v>93</v>
      </c>
      <c r="D25" s="1">
        <f>TP1月份加班!C6</f>
        <v>6</v>
      </c>
      <c r="E25" s="1">
        <f>TP2月份加班!C6</f>
        <v>0</v>
      </c>
      <c r="F25" s="1">
        <f>TP3月份加班!C6</f>
        <v>23</v>
      </c>
      <c r="G25" s="1">
        <f>TP4月份加班!C6</f>
        <v>11</v>
      </c>
      <c r="H25" s="1">
        <f>TP5月份加班!C6</f>
        <v>0</v>
      </c>
      <c r="I25" s="1">
        <f>TP6月份加班!C6</f>
        <v>11</v>
      </c>
      <c r="J25" s="1">
        <f>TP7月份加班!C6</f>
        <v>1</v>
      </c>
      <c r="K25" s="1">
        <f>TP8月份加班!C6</f>
        <v>20</v>
      </c>
      <c r="L25" s="1">
        <f>TP9月份加班!C6</f>
        <v>11</v>
      </c>
      <c r="M25" s="1">
        <f>TP10月份加班!C6</f>
        <v>10</v>
      </c>
      <c r="N25" s="1"/>
      <c r="O25" s="1"/>
    </row>
    <row r="26" spans="1:16" ht="30" customHeight="1">
      <c r="A26" s="1">
        <v>5</v>
      </c>
      <c r="B26" s="1" t="s">
        <v>7</v>
      </c>
      <c r="C26" s="1">
        <f t="shared" si="1"/>
        <v>47</v>
      </c>
      <c r="D26" s="1">
        <f>TP1月份加班!C7</f>
        <v>9</v>
      </c>
      <c r="E26" s="1">
        <f>TP2月份加班!C7</f>
        <v>0</v>
      </c>
      <c r="F26" s="1">
        <f>TP3月份加班!C7</f>
        <v>16</v>
      </c>
      <c r="G26" s="1">
        <f>TP4月份加班!C7</f>
        <v>5</v>
      </c>
      <c r="H26" s="1">
        <f>TP5月份加班!C7</f>
        <v>0</v>
      </c>
      <c r="I26" s="1">
        <f>TP6月份加班!C7</f>
        <v>0</v>
      </c>
      <c r="J26" s="1">
        <f>TP7月份加班!C7</f>
        <v>1</v>
      </c>
      <c r="K26" s="1">
        <f>TP8月份加班!C7</f>
        <v>6</v>
      </c>
      <c r="L26" s="1">
        <f>TP9月份加班!C7</f>
        <v>2</v>
      </c>
      <c r="M26" s="1">
        <f>TP10月份加班!C7</f>
        <v>8</v>
      </c>
      <c r="N26" s="1"/>
      <c r="O26" s="1"/>
    </row>
    <row r="27" spans="1:16" ht="30" customHeight="1">
      <c r="A27" s="1">
        <v>6</v>
      </c>
      <c r="B27" s="1" t="s">
        <v>8</v>
      </c>
      <c r="C27" s="1">
        <f t="shared" si="1"/>
        <v>205</v>
      </c>
      <c r="D27" s="1">
        <f>TP1月份加班!C8</f>
        <v>33</v>
      </c>
      <c r="E27" s="1">
        <f>TP2月份加班!C8</f>
        <v>12</v>
      </c>
      <c r="F27" s="1">
        <f>TP3月份加班!C8</f>
        <v>38</v>
      </c>
      <c r="G27" s="1">
        <f>TP4月份加班!C8</f>
        <v>19</v>
      </c>
      <c r="H27" s="1">
        <f>TP5月份加班!C8</f>
        <v>24</v>
      </c>
      <c r="I27" s="1">
        <f>TP6月份加班!C8</f>
        <v>21</v>
      </c>
      <c r="J27" s="1">
        <f>TP7月份加班!C8</f>
        <v>17</v>
      </c>
      <c r="K27" s="1">
        <f>TP8月份加班!C8</f>
        <v>15</v>
      </c>
      <c r="L27" s="1">
        <f>TP9月份加班!C8</f>
        <v>6</v>
      </c>
      <c r="M27" s="1">
        <f>TP10月份加班!C8</f>
        <v>20</v>
      </c>
      <c r="N27" s="1"/>
      <c r="O27" s="1"/>
    </row>
    <row r="28" spans="1:16" ht="30" customHeight="1">
      <c r="A28" s="1">
        <v>7</v>
      </c>
      <c r="B28" s="1" t="s">
        <v>9</v>
      </c>
      <c r="C28" s="1">
        <f t="shared" si="1"/>
        <v>241</v>
      </c>
      <c r="D28" s="1">
        <f>TP1月份加班!C9</f>
        <v>34</v>
      </c>
      <c r="E28" s="1">
        <f>TP2月份加班!C9</f>
        <v>37</v>
      </c>
      <c r="F28" s="1">
        <f>TP3月份加班!C9</f>
        <v>47</v>
      </c>
      <c r="G28" s="1">
        <f>TP4月份加班!C9</f>
        <v>23</v>
      </c>
      <c r="H28" s="1">
        <f>TP5月份加班!C9</f>
        <v>8</v>
      </c>
      <c r="I28" s="1">
        <f>TP6月份加班!C9</f>
        <v>21</v>
      </c>
      <c r="J28" s="1">
        <f>TP7月份加班!C9</f>
        <v>15</v>
      </c>
      <c r="K28" s="1">
        <f>TP8月份加班!C9</f>
        <v>28</v>
      </c>
      <c r="L28" s="1">
        <f>TP9月份加班!C9</f>
        <v>17</v>
      </c>
      <c r="M28" s="1">
        <f>TP10月份加班!C9</f>
        <v>11</v>
      </c>
      <c r="N28" s="1"/>
      <c r="O28" s="1"/>
    </row>
    <row r="29" spans="1:16" ht="30" customHeight="1">
      <c r="A29" s="1">
        <v>8</v>
      </c>
      <c r="B29" s="1" t="s">
        <v>10</v>
      </c>
      <c r="C29" s="1">
        <f t="shared" si="1"/>
        <v>23</v>
      </c>
      <c r="D29" s="1">
        <f>TP1月份加班!C10</f>
        <v>6</v>
      </c>
      <c r="E29" s="1">
        <f>TP2月份加班!C10</f>
        <v>0</v>
      </c>
      <c r="F29" s="1">
        <f>TP3月份加班!C10</f>
        <v>0</v>
      </c>
      <c r="G29" s="1">
        <f>TP4月份加班!C10</f>
        <v>11</v>
      </c>
      <c r="H29" s="1">
        <f>TP5月份加班!C10</f>
        <v>0</v>
      </c>
      <c r="I29" s="1">
        <f>TP6月份加班!C10</f>
        <v>6</v>
      </c>
      <c r="J29" s="1">
        <f>TP7月份加班!C10</f>
        <v>0</v>
      </c>
      <c r="K29" s="1">
        <f>TP8月份加班!C10</f>
        <v>0</v>
      </c>
      <c r="L29" s="1">
        <f>TP9月份加班!C10</f>
        <v>0</v>
      </c>
      <c r="M29" s="1">
        <f>TP10月份加班!C10</f>
        <v>0</v>
      </c>
      <c r="N29" s="1"/>
      <c r="O29" s="1"/>
    </row>
    <row r="30" spans="1:16" ht="30" customHeight="1">
      <c r="A30" s="1">
        <v>9</v>
      </c>
      <c r="B30" s="1" t="s">
        <v>11</v>
      </c>
      <c r="C30" s="1">
        <f t="shared" si="1"/>
        <v>155</v>
      </c>
      <c r="D30" s="1">
        <f>TP1月份加班!C11</f>
        <v>6</v>
      </c>
      <c r="E30" s="1">
        <f>TP2月份加班!C11</f>
        <v>1</v>
      </c>
      <c r="F30" s="1">
        <f>TP3月份加班!C11</f>
        <v>16</v>
      </c>
      <c r="G30" s="1">
        <f>TP4月份加班!C11</f>
        <v>8</v>
      </c>
      <c r="H30" s="1">
        <f>TP5月份加班!C11</f>
        <v>12</v>
      </c>
      <c r="I30" s="1">
        <f>TP6月份加班!C11</f>
        <v>14</v>
      </c>
      <c r="J30" s="1">
        <f>TP7月份加班!C11</f>
        <v>0</v>
      </c>
      <c r="K30" s="1">
        <f>TP8月份加班!C11</f>
        <v>93</v>
      </c>
      <c r="L30" s="1">
        <f>TP9月份加班!C11</f>
        <v>3</v>
      </c>
      <c r="M30" s="1">
        <f>TP10月份加班!C11</f>
        <v>2</v>
      </c>
      <c r="N30" s="1"/>
      <c r="O30" s="1"/>
    </row>
    <row r="31" spans="1:16" ht="30" customHeight="1">
      <c r="A31" s="1">
        <v>10</v>
      </c>
      <c r="B31" s="1" t="s">
        <v>12</v>
      </c>
      <c r="C31" s="1">
        <f t="shared" si="1"/>
        <v>50</v>
      </c>
      <c r="D31" s="1">
        <f>TP1月份加班!C12</f>
        <v>6</v>
      </c>
      <c r="E31" s="1">
        <f>TP2月份加班!C12</f>
        <v>0</v>
      </c>
      <c r="F31" s="1">
        <f>TP3月份加班!C12</f>
        <v>16</v>
      </c>
      <c r="G31" s="1">
        <f>TP4月份加班!C12</f>
        <v>22</v>
      </c>
      <c r="H31" s="1">
        <f>TP5月份加班!C12</f>
        <v>0</v>
      </c>
      <c r="I31" s="1">
        <f>TP6月份加班!C12</f>
        <v>0</v>
      </c>
      <c r="J31" s="1">
        <f>TP7月份加班!C12</f>
        <v>0</v>
      </c>
      <c r="K31" s="1">
        <f>TP8月份加班!C12</f>
        <v>2</v>
      </c>
      <c r="L31" s="1">
        <f>TP9月份加班!C12</f>
        <v>4</v>
      </c>
      <c r="M31" s="1">
        <f>TP10月份加班!C12</f>
        <v>0</v>
      </c>
      <c r="N31" s="1"/>
      <c r="O31" s="1"/>
    </row>
    <row r="32" spans="1:16" ht="30" customHeight="1">
      <c r="A32" s="1">
        <v>11</v>
      </c>
      <c r="B32" s="1" t="s">
        <v>13</v>
      </c>
      <c r="C32" s="1">
        <f t="shared" si="1"/>
        <v>227</v>
      </c>
      <c r="D32" s="1">
        <f>TP1月份加班!C13</f>
        <v>25</v>
      </c>
      <c r="E32" s="1">
        <f>TP2月份加班!C13</f>
        <v>0</v>
      </c>
      <c r="F32" s="1">
        <f>TP3月份加班!C13</f>
        <v>0</v>
      </c>
      <c r="G32" s="1">
        <f>TP4月份加班!C13</f>
        <v>60</v>
      </c>
      <c r="H32" s="1">
        <f>TP5月份加班!C13</f>
        <v>55</v>
      </c>
      <c r="I32" s="1">
        <f>TP6月份加班!C13</f>
        <v>71</v>
      </c>
      <c r="J32" s="1">
        <f>TP7月份加班!C13</f>
        <v>16</v>
      </c>
      <c r="K32" s="1">
        <f>TP8月份加班!C13</f>
        <v>0</v>
      </c>
      <c r="L32" s="1">
        <f>TP9月份加班!C13</f>
        <v>0</v>
      </c>
      <c r="M32" s="1">
        <f>TP10月份加班!C13</f>
        <v>0</v>
      </c>
      <c r="N32" s="1"/>
      <c r="O32" s="1"/>
    </row>
    <row r="33" spans="1:16" ht="30" customHeight="1">
      <c r="A33" s="1">
        <v>12</v>
      </c>
      <c r="B33" s="1" t="s">
        <v>14</v>
      </c>
      <c r="C33" s="1">
        <f t="shared" si="1"/>
        <v>268</v>
      </c>
      <c r="D33" s="1">
        <f>TP1月份加班!C14</f>
        <v>44</v>
      </c>
      <c r="E33" s="1">
        <f>TP2月份加班!C14</f>
        <v>32</v>
      </c>
      <c r="F33" s="1">
        <f>TP3月份加班!C14</f>
        <v>33</v>
      </c>
      <c r="G33" s="1">
        <f>TP4月份加班!C14</f>
        <v>18</v>
      </c>
      <c r="H33" s="1">
        <f>TP5月份加班!C14</f>
        <v>43</v>
      </c>
      <c r="I33" s="1">
        <f>TP6月份加班!C14</f>
        <v>66</v>
      </c>
      <c r="J33" s="1">
        <f>TP7月份加班!C14</f>
        <v>32</v>
      </c>
      <c r="K33" s="1">
        <f>TP8月份加班!C14</f>
        <v>0</v>
      </c>
      <c r="L33" s="1">
        <f>TP9月份加班!C14</f>
        <v>0</v>
      </c>
      <c r="M33" s="1">
        <f>TP10月份加班!C14</f>
        <v>0</v>
      </c>
      <c r="N33" s="1"/>
      <c r="O33" s="1"/>
    </row>
    <row r="34" spans="1:16" ht="30" customHeight="1">
      <c r="A34" s="1">
        <v>13</v>
      </c>
      <c r="B34" s="1" t="s">
        <v>16</v>
      </c>
      <c r="C34" s="1">
        <f t="shared" si="1"/>
        <v>227</v>
      </c>
      <c r="D34" s="1">
        <f>TP1月份加班!C16</f>
        <v>30</v>
      </c>
      <c r="E34" s="1">
        <f>TP2月份加班!C16</f>
        <v>12</v>
      </c>
      <c r="F34" s="1">
        <f>TP3月份加班!C16</f>
        <v>34</v>
      </c>
      <c r="G34" s="1">
        <f>TP4月份加班!C16</f>
        <v>22</v>
      </c>
      <c r="H34" s="1">
        <f>TP5月份加班!C16</f>
        <v>4</v>
      </c>
      <c r="I34" s="1">
        <f>TP6月份加班!C16</f>
        <v>7</v>
      </c>
      <c r="J34" s="1">
        <f>TP7月份加班!C16</f>
        <v>0</v>
      </c>
      <c r="K34" s="1">
        <f>TP8月份加班!C16</f>
        <v>85</v>
      </c>
      <c r="L34" s="1">
        <f>TP9月份加班!C16</f>
        <v>33</v>
      </c>
      <c r="M34" s="1">
        <f>TP10月份加班!C16</f>
        <v>0</v>
      </c>
      <c r="N34" s="1"/>
      <c r="O34" s="1"/>
    </row>
    <row r="35" spans="1:16" ht="30" customHeight="1">
      <c r="A35" s="1">
        <v>14</v>
      </c>
      <c r="B35" s="1" t="s">
        <v>271</v>
      </c>
      <c r="C35" s="1">
        <f t="shared" si="1"/>
        <v>10</v>
      </c>
      <c r="D35" s="1">
        <f>TP1月份加班!C17</f>
        <v>0</v>
      </c>
      <c r="E35" s="1">
        <f>TP2月份加班!C17</f>
        <v>0</v>
      </c>
      <c r="F35" s="1">
        <f>TP3月份加班!C17</f>
        <v>0</v>
      </c>
      <c r="G35" s="1">
        <f>TP4月份加班!C17</f>
        <v>0</v>
      </c>
      <c r="H35" s="1">
        <f>TP5月份加班!C17</f>
        <v>0</v>
      </c>
      <c r="I35" s="1">
        <f>TP6月份加班!C17</f>
        <v>0</v>
      </c>
      <c r="J35" s="1">
        <f>TP7月份加班!C17</f>
        <v>0</v>
      </c>
      <c r="K35" s="1">
        <f>TP8月份加班!C17</f>
        <v>0</v>
      </c>
      <c r="L35" s="1">
        <f>TP9月份加班!C17</f>
        <v>0</v>
      </c>
      <c r="M35" s="1">
        <f>TP10月份加班!C17</f>
        <v>10</v>
      </c>
      <c r="N35" s="1"/>
      <c r="O35" s="1"/>
    </row>
    <row r="36" spans="1:16" ht="30" customHeight="1">
      <c r="A36" s="1">
        <v>15</v>
      </c>
      <c r="B36" s="1" t="s">
        <v>301</v>
      </c>
      <c r="C36" s="1">
        <f t="shared" si="1"/>
        <v>6</v>
      </c>
      <c r="D36" s="1">
        <f>TP1月份加班!C18</f>
        <v>0</v>
      </c>
      <c r="E36" s="1">
        <f>TP2月份加班!C18</f>
        <v>0</v>
      </c>
      <c r="F36" s="1">
        <f>TP3月份加班!C18</f>
        <v>0</v>
      </c>
      <c r="G36" s="1">
        <f>TP4月份加班!C18</f>
        <v>0</v>
      </c>
      <c r="H36" s="1">
        <f>TP5月份加班!C18</f>
        <v>0</v>
      </c>
      <c r="I36" s="1">
        <f>TP6月份加班!C18</f>
        <v>0</v>
      </c>
      <c r="J36" s="1">
        <f>TP7月份加班!C18</f>
        <v>0</v>
      </c>
      <c r="K36" s="1">
        <f>TP8月份加班!C18</f>
        <v>0</v>
      </c>
      <c r="L36" s="1">
        <f>TP9月份加班!C18</f>
        <v>0</v>
      </c>
      <c r="M36" s="1">
        <f>TP10月份加班!C18</f>
        <v>6</v>
      </c>
      <c r="N36" s="1"/>
      <c r="O36" s="1"/>
    </row>
    <row r="37" spans="1:16" s="21" customFormat="1" ht="6" customHeight="1"/>
    <row r="38" spans="1:16" ht="24" customHeight="1">
      <c r="A38" s="42" t="s">
        <v>312</v>
      </c>
      <c r="B38" s="42"/>
      <c r="C38" s="37" t="s">
        <v>306</v>
      </c>
      <c r="D38" s="37" t="s">
        <v>305</v>
      </c>
      <c r="E38" s="37" t="s">
        <v>324</v>
      </c>
      <c r="F38" s="37" t="s">
        <v>316</v>
      </c>
      <c r="G38" s="37" t="s">
        <v>317</v>
      </c>
      <c r="H38" s="37" t="s">
        <v>318</v>
      </c>
      <c r="I38" s="37" t="s">
        <v>176</v>
      </c>
      <c r="J38" s="37" t="s">
        <v>240</v>
      </c>
      <c r="K38" s="37" t="s">
        <v>319</v>
      </c>
      <c r="L38" s="37" t="s">
        <v>320</v>
      </c>
      <c r="M38" s="37" t="s">
        <v>321</v>
      </c>
      <c r="N38" s="37" t="s">
        <v>322</v>
      </c>
      <c r="O38" s="37" t="s">
        <v>323</v>
      </c>
      <c r="P38" s="40" t="s">
        <v>311</v>
      </c>
    </row>
    <row r="39" spans="1:16">
      <c r="A39" s="1" t="s">
        <v>1</v>
      </c>
      <c r="B39" s="1" t="s">
        <v>2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40"/>
    </row>
    <row r="40" spans="1:16" ht="30" customHeight="1">
      <c r="A40" s="1">
        <v>1</v>
      </c>
      <c r="B40" s="1" t="s">
        <v>3</v>
      </c>
      <c r="C40" s="1">
        <f>SUM(D40:O40)</f>
        <v>0</v>
      </c>
      <c r="D40" s="1">
        <f>'TP加班累計-請假總合_2024'!C3</f>
        <v>0</v>
      </c>
      <c r="E40" s="1">
        <f>'TP加班累計-請假總合_2024'!D3</f>
        <v>0</v>
      </c>
      <c r="F40" s="1">
        <f>'TP加班累計-請假總合_2024'!E3</f>
        <v>0</v>
      </c>
      <c r="G40" s="1">
        <f>'TP加班累計-請假總合_2024'!F3</f>
        <v>0</v>
      </c>
      <c r="H40" s="1">
        <f>'TP加班累計-請假總合_2024'!G3</f>
        <v>0</v>
      </c>
      <c r="I40" s="1">
        <f>'TP加班累計-請假總合_2024'!H3</f>
        <v>0</v>
      </c>
      <c r="J40" s="1">
        <f>'TP加班累計-請假總合_2024'!I3</f>
        <v>0</v>
      </c>
      <c r="K40" s="1">
        <f>'TP加班累計-請假總合_2024'!J3</f>
        <v>0</v>
      </c>
      <c r="L40" s="1">
        <f>'TP加班累計-請假總合_2024'!K3</f>
        <v>0</v>
      </c>
      <c r="M40" s="1">
        <f>'TP加班累計-請假總合_2024'!L3</f>
        <v>0</v>
      </c>
      <c r="N40" s="1"/>
      <c r="O40" s="1"/>
    </row>
    <row r="41" spans="1:16" ht="30" customHeight="1">
      <c r="A41" s="1">
        <v>2</v>
      </c>
      <c r="B41" s="1" t="s">
        <v>4</v>
      </c>
      <c r="C41" s="1">
        <f t="shared" ref="C41:C54" si="2">SUM(D41:O41)</f>
        <v>-101</v>
      </c>
      <c r="D41" s="1">
        <f>'TP加班累計-請假總合_2024'!C4</f>
        <v>0</v>
      </c>
      <c r="E41" s="1">
        <f>'TP加班累計-請假總合_2024'!D4</f>
        <v>-23</v>
      </c>
      <c r="F41" s="1">
        <f>'TP加班累計-請假總合_2024'!E4</f>
        <v>-9</v>
      </c>
      <c r="G41" s="1">
        <f>'TP加班累計-請假總合_2024'!F4</f>
        <v>-3</v>
      </c>
      <c r="H41" s="1">
        <f>'TP加班累計-請假總合_2024'!G4</f>
        <v>0</v>
      </c>
      <c r="I41" s="1">
        <f>'TP加班累計-請假總合_2024'!H4</f>
        <v>-8</v>
      </c>
      <c r="J41" s="1">
        <f>'TP加班累計-請假總合_2024'!I4</f>
        <v>-16</v>
      </c>
      <c r="K41" s="1">
        <f>'TP加班累計-請假總合_2024'!J4</f>
        <v>22</v>
      </c>
      <c r="L41" s="1">
        <f>'TP加班累計-請假總合_2024'!K4</f>
        <v>-35</v>
      </c>
      <c r="M41" s="1">
        <f>'TP加班累計-請假總合_2024'!L4</f>
        <v>-29</v>
      </c>
      <c r="N41" s="1"/>
      <c r="O41" s="1"/>
    </row>
    <row r="42" spans="1:16" ht="30" customHeight="1">
      <c r="A42" s="1">
        <v>3</v>
      </c>
      <c r="B42" s="1" t="s">
        <v>5</v>
      </c>
      <c r="C42" s="1">
        <f t="shared" si="2"/>
        <v>-94</v>
      </c>
      <c r="D42" s="1">
        <f>'TP加班累計-請假總合_2024'!C5</f>
        <v>-2</v>
      </c>
      <c r="E42" s="1">
        <f>'TP加班累計-請假總合_2024'!D5</f>
        <v>-9</v>
      </c>
      <c r="F42" s="1">
        <f>'TP加班累計-請假總合_2024'!E5</f>
        <v>-25</v>
      </c>
      <c r="G42" s="1">
        <f>'TP加班累計-請假總合_2024'!F5</f>
        <v>-32</v>
      </c>
      <c r="H42" s="1">
        <f>'TP加班累計-請假總合_2024'!G5</f>
        <v>19</v>
      </c>
      <c r="I42" s="1">
        <f>'TP加班累計-請假總合_2024'!H5</f>
        <v>1</v>
      </c>
      <c r="J42" s="1">
        <f>'TP加班累計-請假總合_2024'!I5</f>
        <v>-21</v>
      </c>
      <c r="K42" s="1">
        <f>'TP加班累計-請假總合_2024'!J5</f>
        <v>-3</v>
      </c>
      <c r="L42" s="1">
        <f>'TP加班累計-請假總合_2024'!K5</f>
        <v>-10</v>
      </c>
      <c r="M42" s="1">
        <f>'TP加班累計-請假總合_2024'!L5</f>
        <v>-12</v>
      </c>
      <c r="N42" s="1"/>
      <c r="O42" s="1"/>
    </row>
    <row r="43" spans="1:16" ht="30" customHeight="1">
      <c r="A43" s="1">
        <v>4</v>
      </c>
      <c r="B43" s="1" t="s">
        <v>6</v>
      </c>
      <c r="C43" s="1">
        <f t="shared" si="2"/>
        <v>-113</v>
      </c>
      <c r="D43" s="1">
        <f>'TP加班累計-請假總合_2024'!C6</f>
        <v>-10</v>
      </c>
      <c r="E43" s="1">
        <f>'TP加班累計-請假總合_2024'!D6</f>
        <v>-40</v>
      </c>
      <c r="F43" s="1">
        <f>'TP加班累計-請假總合_2024'!E6</f>
        <v>-9</v>
      </c>
      <c r="G43" s="1">
        <f>'TP加班累計-請假總合_2024'!F6</f>
        <v>11</v>
      </c>
      <c r="H43" s="1">
        <f>'TP加班累計-請假總合_2024'!G6</f>
        <v>-16</v>
      </c>
      <c r="I43" s="1">
        <f>'TP加班累計-請假總合_2024'!H6</f>
        <v>-21</v>
      </c>
      <c r="J43" s="1">
        <f>'TP加班累計-請假總合_2024'!I6</f>
        <v>-15</v>
      </c>
      <c r="K43" s="1">
        <f>'TP加班累計-請假總合_2024'!J6</f>
        <v>20</v>
      </c>
      <c r="L43" s="1">
        <f>'TP加班累計-請假總合_2024'!K6</f>
        <v>-11</v>
      </c>
      <c r="M43" s="1">
        <f>'TP加班累計-請假總合_2024'!L6</f>
        <v>-22</v>
      </c>
      <c r="N43" s="1"/>
      <c r="O43" s="1"/>
    </row>
    <row r="44" spans="1:16" ht="30" customHeight="1">
      <c r="A44" s="1">
        <v>5</v>
      </c>
      <c r="B44" s="1" t="s">
        <v>7</v>
      </c>
      <c r="C44" s="1">
        <f t="shared" si="2"/>
        <v>-110</v>
      </c>
      <c r="D44" s="1">
        <f>'TP加班累計-請假總合_2024'!C7</f>
        <v>-7</v>
      </c>
      <c r="E44" s="1">
        <f>'TP加班累計-請假總合_2024'!D7</f>
        <v>-21</v>
      </c>
      <c r="F44" s="1">
        <f>'TP加班累計-請假總合_2024'!E7</f>
        <v>16</v>
      </c>
      <c r="G44" s="1">
        <f>'TP加班累計-請假總合_2024'!F7</f>
        <v>-27</v>
      </c>
      <c r="H44" s="1">
        <f>'TP加班累計-請假總合_2024'!G7</f>
        <v>-16</v>
      </c>
      <c r="I44" s="1">
        <f>'TP加班累計-請假總合_2024'!H7</f>
        <v>-16</v>
      </c>
      <c r="J44" s="1">
        <f>'TP加班累計-請假總合_2024'!I7</f>
        <v>-7</v>
      </c>
      <c r="K44" s="1">
        <f>'TP加班累計-請假總合_2024'!J7</f>
        <v>-10</v>
      </c>
      <c r="L44" s="1">
        <f>'TP加班累計-請假總合_2024'!K7</f>
        <v>-14</v>
      </c>
      <c r="M44" s="1">
        <f>'TP加班累計-請假總合_2024'!L7</f>
        <v>-8</v>
      </c>
      <c r="N44" s="1"/>
      <c r="O44" s="1"/>
    </row>
    <row r="45" spans="1:16" ht="30" customHeight="1">
      <c r="A45" s="1">
        <v>6</v>
      </c>
      <c r="B45" s="1" t="s">
        <v>8</v>
      </c>
      <c r="C45" s="1">
        <f t="shared" si="2"/>
        <v>-14</v>
      </c>
      <c r="D45" s="1">
        <f>'TP加班累計-請假總合_2024'!C8</f>
        <v>17</v>
      </c>
      <c r="E45" s="1">
        <f>'TP加班累計-請假總合_2024'!D8</f>
        <v>4</v>
      </c>
      <c r="F45" s="1">
        <f>'TP加班累計-請假總合_2024'!E8</f>
        <v>34</v>
      </c>
      <c r="G45" s="1">
        <f>'TP加班累計-請假總合_2024'!F8</f>
        <v>19</v>
      </c>
      <c r="H45" s="1">
        <f>'TP加班累計-請假總合_2024'!G8</f>
        <v>0</v>
      </c>
      <c r="I45" s="1">
        <f>'TP加班累計-請假總合_2024'!H8</f>
        <v>-18</v>
      </c>
      <c r="J45" s="1">
        <f>'TP加班累計-請假總合_2024'!I8</f>
        <v>-3</v>
      </c>
      <c r="K45" s="1">
        <f>'TP加班累計-請假總合_2024'!J8</f>
        <v>-9</v>
      </c>
      <c r="L45" s="1">
        <f>'TP加班累計-請假總合_2024'!K8</f>
        <v>-30</v>
      </c>
      <c r="M45" s="1">
        <f>'TP加班累計-請假總合_2024'!L8</f>
        <v>-28</v>
      </c>
      <c r="N45" s="1"/>
      <c r="O45" s="1"/>
    </row>
    <row r="46" spans="1:16" ht="30" customHeight="1">
      <c r="A46" s="1">
        <v>7</v>
      </c>
      <c r="B46" s="1" t="s">
        <v>9</v>
      </c>
      <c r="C46" s="1">
        <f t="shared" si="2"/>
        <v>-51</v>
      </c>
      <c r="D46" s="1">
        <f>'TP加班累計-請假總合_2024'!C9</f>
        <v>-6</v>
      </c>
      <c r="E46" s="1">
        <f>'TP加班累計-請假總合_2024'!D9</f>
        <v>-9</v>
      </c>
      <c r="F46" s="1">
        <f>'TP加班累計-請假總合_2024'!E9</f>
        <v>-11</v>
      </c>
      <c r="G46" s="1">
        <f>'TP加班累計-請假總合_2024'!F9</f>
        <v>18</v>
      </c>
      <c r="H46" s="1">
        <f>'TP加班累計-請假總合_2024'!G9</f>
        <v>4</v>
      </c>
      <c r="I46" s="1">
        <f>'TP加班累計-請假總合_2024'!H9</f>
        <v>-12</v>
      </c>
      <c r="J46" s="1">
        <f>'TP加班累計-請假總合_2024'!I9</f>
        <v>-11</v>
      </c>
      <c r="K46" s="1">
        <f>'TP加班累計-請假總合_2024'!J9</f>
        <v>-20</v>
      </c>
      <c r="L46" s="1">
        <f>'TP加班累計-請假總合_2024'!K9</f>
        <v>1</v>
      </c>
      <c r="M46" s="1">
        <f>'TP加班累計-請假總合_2024'!L9</f>
        <v>-5</v>
      </c>
      <c r="N46" s="1"/>
      <c r="O46" s="1"/>
    </row>
    <row r="47" spans="1:16" ht="30" customHeight="1">
      <c r="A47" s="1">
        <v>8</v>
      </c>
      <c r="B47" s="1" t="s">
        <v>10</v>
      </c>
      <c r="C47" s="1">
        <f t="shared" si="2"/>
        <v>-77</v>
      </c>
      <c r="D47" s="1">
        <f>'TP加班累計-請假總合_2024'!C10</f>
        <v>6</v>
      </c>
      <c r="E47" s="1">
        <f>'TP加班累計-請假總合_2024'!D10</f>
        <v>-56</v>
      </c>
      <c r="F47" s="1">
        <f>'TP加班累計-請假總合_2024'!E10</f>
        <v>0</v>
      </c>
      <c r="G47" s="1">
        <f>'TP加班累計-請假總合_2024'!F10</f>
        <v>11</v>
      </c>
      <c r="H47" s="1">
        <f>'TP加班累計-請假總合_2024'!G10</f>
        <v>0</v>
      </c>
      <c r="I47" s="1">
        <f>'TP加班累計-請假總合_2024'!H10</f>
        <v>-10</v>
      </c>
      <c r="J47" s="1">
        <f>'TP加班累計-請假總合_2024'!I10</f>
        <v>0</v>
      </c>
      <c r="K47" s="1">
        <f>'TP加班累計-請假總合_2024'!J10</f>
        <v>-24</v>
      </c>
      <c r="L47" s="1">
        <f>'TP加班累計-請假總合_2024'!K10</f>
        <v>-4</v>
      </c>
      <c r="M47" s="1">
        <f>'TP加班累計-請假總合_2024'!L10</f>
        <v>0</v>
      </c>
      <c r="N47" s="1"/>
      <c r="O47" s="1"/>
    </row>
    <row r="48" spans="1:16" ht="30" customHeight="1">
      <c r="A48" s="1">
        <v>9</v>
      </c>
      <c r="B48" s="1" t="s">
        <v>11</v>
      </c>
      <c r="C48" s="1">
        <f t="shared" si="2"/>
        <v>-44</v>
      </c>
      <c r="D48" s="1">
        <f>'TP加班累計-請假總合_2024'!C11</f>
        <v>6</v>
      </c>
      <c r="E48" s="1">
        <f>'TP加班累計-請假總合_2024'!D11</f>
        <v>-31</v>
      </c>
      <c r="F48" s="1">
        <f>'TP加班累計-請假總合_2024'!E11</f>
        <v>16</v>
      </c>
      <c r="G48" s="1">
        <f>'TP加班累計-請假總合_2024'!F11</f>
        <v>-31</v>
      </c>
      <c r="H48" s="1">
        <f>'TP加班累計-請假總合_2024'!G11</f>
        <v>-4</v>
      </c>
      <c r="I48" s="1">
        <f>'TP加班累計-請假總合_2024'!H11</f>
        <v>-18</v>
      </c>
      <c r="J48" s="1">
        <f>'TP加班累計-請假總合_2024'!I11</f>
        <v>-24</v>
      </c>
      <c r="K48" s="1">
        <f>'TP加班累計-請假總合_2024'!J11</f>
        <v>93</v>
      </c>
      <c r="L48" s="1">
        <f>'TP加班累計-請假總合_2024'!K11</f>
        <v>-21</v>
      </c>
      <c r="M48" s="1">
        <f>'TP加班累計-請假總合_2024'!L11</f>
        <v>-30</v>
      </c>
      <c r="N48" s="1"/>
      <c r="O48" s="1"/>
    </row>
    <row r="49" spans="1:16" ht="30" customHeight="1">
      <c r="A49" s="1">
        <v>10</v>
      </c>
      <c r="B49" s="1" t="s">
        <v>12</v>
      </c>
      <c r="C49" s="1">
        <f t="shared" si="2"/>
        <v>-46</v>
      </c>
      <c r="D49" s="1">
        <f>'TP加班累計-請假總合_2024'!C12</f>
        <v>-10</v>
      </c>
      <c r="E49" s="1">
        <f>'TP加班累計-請假總合_2024'!D12</f>
        <v>0</v>
      </c>
      <c r="F49" s="1">
        <f>'TP加班累計-請假總合_2024'!E12</f>
        <v>-16</v>
      </c>
      <c r="G49" s="1">
        <f>'TP加班累計-請假總合_2024'!F12</f>
        <v>22</v>
      </c>
      <c r="H49" s="1">
        <f>'TP加班累計-請假總合_2024'!G12</f>
        <v>-16</v>
      </c>
      <c r="I49" s="1">
        <f>'TP加班累計-請假總合_2024'!H12</f>
        <v>-16</v>
      </c>
      <c r="J49" s="1">
        <f>'TP加班累計-請假總合_2024'!I12</f>
        <v>0</v>
      </c>
      <c r="K49" s="1">
        <f>'TP加班累計-請假總合_2024'!J12</f>
        <v>2</v>
      </c>
      <c r="L49" s="1">
        <f>'TP加班累計-請假總合_2024'!K12</f>
        <v>4</v>
      </c>
      <c r="M49" s="1">
        <f>'TP加班累計-請假總合_2024'!L12</f>
        <v>-16</v>
      </c>
      <c r="N49" s="1"/>
      <c r="O49" s="1"/>
    </row>
    <row r="50" spans="1:16" ht="30" customHeight="1">
      <c r="A50" s="1">
        <v>11</v>
      </c>
      <c r="B50" s="1" t="s">
        <v>13</v>
      </c>
      <c r="C50" s="1">
        <f t="shared" si="2"/>
        <v>-55</v>
      </c>
      <c r="D50" s="1">
        <f>'TP加班累計-請假總合_2024'!C13</f>
        <v>17</v>
      </c>
      <c r="E50" s="1">
        <f>'TP加班累計-請假總合_2024'!D13</f>
        <v>-93</v>
      </c>
      <c r="F50" s="1">
        <f>'TP加班累計-請假總合_2024'!E13</f>
        <v>-16</v>
      </c>
      <c r="G50" s="1">
        <f>'TP加班累計-請假總合_2024'!F13</f>
        <v>38</v>
      </c>
      <c r="H50" s="1">
        <f>'TP加班累計-請假總合_2024'!G13</f>
        <v>39</v>
      </c>
      <c r="I50" s="1">
        <f>'TP加班累計-請假總合_2024'!H13</f>
        <v>71</v>
      </c>
      <c r="J50" s="1">
        <f>'TP加班累計-請假總合_2024'!I13</f>
        <v>-33</v>
      </c>
      <c r="K50" s="1">
        <f>'TP加班累計-請假總合_2024'!J13</f>
        <v>-32</v>
      </c>
      <c r="L50" s="1">
        <f>'TP加班累計-請假總合_2024'!K13</f>
        <v>-24</v>
      </c>
      <c r="M50" s="1">
        <f>'TP加班累計-請假總合_2024'!L13</f>
        <v>-22</v>
      </c>
      <c r="N50" s="1"/>
      <c r="O50" s="1"/>
    </row>
    <row r="51" spans="1:16" ht="30" customHeight="1">
      <c r="A51" s="1">
        <v>12</v>
      </c>
      <c r="B51" s="1" t="s">
        <v>14</v>
      </c>
      <c r="C51" s="1">
        <f t="shared" si="2"/>
        <v>102</v>
      </c>
      <c r="D51" s="1">
        <f>'TP加班累計-請假總合_2024'!C14</f>
        <v>44</v>
      </c>
      <c r="E51" s="1">
        <f>'TP加班累計-請假總合_2024'!D14</f>
        <v>0</v>
      </c>
      <c r="F51" s="1">
        <f>'TP加班累計-請假總合_2024'!E14</f>
        <v>11</v>
      </c>
      <c r="G51" s="1">
        <f>'TP加班累計-請假總合_2024'!F14</f>
        <v>2</v>
      </c>
      <c r="H51" s="1">
        <f>'TP加班累計-請假總合_2024'!G14</f>
        <v>43</v>
      </c>
      <c r="I51" s="1">
        <f>'TP加班累計-請假總合_2024'!H14</f>
        <v>18</v>
      </c>
      <c r="J51" s="1">
        <f>'TP加班累計-請假總合_2024'!I14</f>
        <v>16</v>
      </c>
      <c r="K51" s="1">
        <f>'TP加班累計-請假總合_2024'!J14</f>
        <v>-16</v>
      </c>
      <c r="L51" s="1">
        <f>'TP加班累計-請假總合_2024'!K14</f>
        <v>-16</v>
      </c>
      <c r="M51" s="1">
        <f>'TP加班累計-請假總合_2024'!L14</f>
        <v>0</v>
      </c>
      <c r="N51" s="1"/>
      <c r="O51" s="1"/>
    </row>
    <row r="52" spans="1:16" ht="30" customHeight="1">
      <c r="A52" s="1">
        <v>13</v>
      </c>
      <c r="B52" s="1" t="s">
        <v>16</v>
      </c>
      <c r="C52" s="1">
        <f t="shared" si="2"/>
        <v>45</v>
      </c>
      <c r="D52" s="1">
        <f>'TP加班累計-請假總合_2024'!C16</f>
        <v>30</v>
      </c>
      <c r="E52" s="1">
        <f>'TP加班累計-請假總合_2024'!D16</f>
        <v>-28</v>
      </c>
      <c r="F52" s="1">
        <f>'TP加班累計-請假總合_2024'!E16</f>
        <v>34</v>
      </c>
      <c r="G52" s="1">
        <f>'TP加班累計-請假總合_2024'!F16</f>
        <v>-11</v>
      </c>
      <c r="H52" s="1">
        <f>'TP加班累計-請假總合_2024'!G16</f>
        <v>-7</v>
      </c>
      <c r="I52" s="1">
        <f>'TP加班累計-請假總合_2024'!H16</f>
        <v>-14</v>
      </c>
      <c r="J52" s="1">
        <f>'TP加班累計-請假總合_2024'!I16</f>
        <v>-48</v>
      </c>
      <c r="K52" s="1">
        <f>'TP加班累計-請假總合_2024'!J16</f>
        <v>85</v>
      </c>
      <c r="L52" s="1">
        <f>'TP加班累計-請假總合_2024'!K16</f>
        <v>15</v>
      </c>
      <c r="M52" s="1">
        <f>'TP加班累計-請假總合_2024'!L16</f>
        <v>-11</v>
      </c>
      <c r="N52" s="1"/>
      <c r="O52" s="1"/>
    </row>
    <row r="53" spans="1:16" ht="30" customHeight="1">
      <c r="A53" s="1">
        <v>14</v>
      </c>
      <c r="B53" s="1" t="s">
        <v>271</v>
      </c>
      <c r="C53" s="1">
        <f t="shared" si="2"/>
        <v>10</v>
      </c>
      <c r="D53" s="1">
        <f>'TP加班累計-請假總合_2024'!C17</f>
        <v>0</v>
      </c>
      <c r="E53" s="1">
        <f>'TP加班累計-請假總合_2024'!D17</f>
        <v>0</v>
      </c>
      <c r="F53" s="1">
        <f>'TP加班累計-請假總合_2024'!E17</f>
        <v>0</v>
      </c>
      <c r="G53" s="1">
        <f>'TP加班累計-請假總合_2024'!F17</f>
        <v>0</v>
      </c>
      <c r="H53" s="1">
        <f>'TP加班累計-請假總合_2024'!G17</f>
        <v>0</v>
      </c>
      <c r="I53" s="1">
        <f>'TP加班累計-請假總合_2024'!H17</f>
        <v>0</v>
      </c>
      <c r="J53" s="1">
        <f>'TP加班累計-請假總合_2024'!I17</f>
        <v>0</v>
      </c>
      <c r="K53" s="1">
        <f>'TP加班累計-請假總合_2024'!J17</f>
        <v>0</v>
      </c>
      <c r="L53" s="1">
        <f>'TP加班累計-請假總合_2024'!K17</f>
        <v>0</v>
      </c>
      <c r="M53" s="1">
        <f>'TP加班累計-請假總合_2024'!L17</f>
        <v>10</v>
      </c>
      <c r="N53" s="1"/>
      <c r="O53" s="1"/>
    </row>
    <row r="54" spans="1:16" ht="30" customHeight="1">
      <c r="A54" s="1">
        <v>15</v>
      </c>
      <c r="B54" s="1" t="s">
        <v>301</v>
      </c>
      <c r="C54" s="1">
        <f t="shared" si="2"/>
        <v>0</v>
      </c>
      <c r="D54" s="1">
        <f>'TP加班累計-請假總合_2024'!C19</f>
        <v>0</v>
      </c>
      <c r="E54" s="1">
        <f>'TP加班累計-請假總合_2024'!D19</f>
        <v>0</v>
      </c>
      <c r="F54" s="1">
        <f>'TP加班累計-請假總合_2024'!E19</f>
        <v>0</v>
      </c>
      <c r="G54" s="1">
        <f>'TP加班累計-請假總合_2024'!F19</f>
        <v>0</v>
      </c>
      <c r="H54" s="1">
        <f>'TP加班累計-請假總合_2024'!G19</f>
        <v>0</v>
      </c>
      <c r="I54" s="1">
        <f>'TP加班累計-請假總合_2024'!H19</f>
        <v>0</v>
      </c>
      <c r="J54" s="1">
        <f>'TP加班累計-請假總合_2024'!I19</f>
        <v>0</v>
      </c>
      <c r="K54" s="1">
        <f>'TP加班累計-請假總合_2024'!J19</f>
        <v>0</v>
      </c>
      <c r="L54" s="1">
        <f>'TP加班累計-請假總合_2024'!K19</f>
        <v>0</v>
      </c>
      <c r="M54" s="1">
        <f>'TP加班累計-請假總合_2024'!L19</f>
        <v>0</v>
      </c>
      <c r="N54" s="1"/>
      <c r="O54" s="1"/>
    </row>
    <row r="55" spans="1:16" s="21" customFormat="1" ht="6" customHeight="1"/>
    <row r="56" spans="1:16" ht="16.25" customHeight="1">
      <c r="A56" s="42" t="s">
        <v>313</v>
      </c>
      <c r="B56" s="42"/>
      <c r="C56" s="43" t="s">
        <v>325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40" t="s">
        <v>314</v>
      </c>
    </row>
    <row r="57" spans="1:16" ht="36" customHeight="1">
      <c r="A57" s="1" t="s">
        <v>1</v>
      </c>
      <c r="B57" s="1" t="s">
        <v>2</v>
      </c>
      <c r="C57" s="44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40"/>
    </row>
    <row r="58" spans="1:16" ht="30" customHeight="1">
      <c r="A58" s="1">
        <v>1</v>
      </c>
      <c r="B58" s="1" t="s">
        <v>3</v>
      </c>
      <c r="C58" s="1">
        <f>'TP加班-請假總合累計_2023+2024'!C3</f>
        <v>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40"/>
    </row>
    <row r="59" spans="1:16" ht="30" customHeight="1">
      <c r="A59" s="1">
        <v>2</v>
      </c>
      <c r="B59" s="1" t="s">
        <v>4</v>
      </c>
      <c r="C59" s="1">
        <f>'TP加班-請假總合累計_2023+2024'!C4</f>
        <v>17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0"/>
    </row>
    <row r="60" spans="1:16" ht="30" customHeight="1">
      <c r="A60" s="1">
        <v>3</v>
      </c>
      <c r="B60" s="1" t="s">
        <v>5</v>
      </c>
      <c r="C60" s="1">
        <f>'TP加班-請假總合累計_2023+2024'!C5</f>
        <v>-53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0"/>
    </row>
    <row r="61" spans="1:16" ht="30" customHeight="1">
      <c r="A61" s="1">
        <v>4</v>
      </c>
      <c r="B61" s="1" t="s">
        <v>6</v>
      </c>
      <c r="C61" s="1">
        <f>'TP加班-請假總合累計_2023+2024'!C6</f>
        <v>-3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40"/>
    </row>
    <row r="62" spans="1:16" ht="30" customHeight="1">
      <c r="A62" s="1">
        <v>5</v>
      </c>
      <c r="B62" s="1" t="s">
        <v>7</v>
      </c>
      <c r="C62" s="1">
        <f>'TP加班-請假總合累計_2023+2024'!C7</f>
        <v>-24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40"/>
    </row>
    <row r="63" spans="1:16" ht="30" customHeight="1">
      <c r="A63" s="1">
        <v>6</v>
      </c>
      <c r="B63" s="1" t="s">
        <v>8</v>
      </c>
      <c r="C63" s="1">
        <f>'TP加班-請假總合累計_2023+2024'!C8</f>
        <v>100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40"/>
    </row>
    <row r="64" spans="1:16" ht="30" customHeight="1">
      <c r="A64" s="1">
        <v>7</v>
      </c>
      <c r="B64" s="1" t="s">
        <v>9</v>
      </c>
      <c r="C64" s="1">
        <f>'TP加班-請假總合累計_2023+2024'!C9</f>
        <v>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40"/>
    </row>
    <row r="65" spans="1:16" ht="30" customHeight="1">
      <c r="A65" s="1">
        <v>8</v>
      </c>
      <c r="B65" s="1" t="s">
        <v>10</v>
      </c>
      <c r="C65" s="1">
        <f>'TP加班-請假總合累計_2023+2024'!C10</f>
        <v>10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40"/>
    </row>
    <row r="66" spans="1:16" ht="30" customHeight="1">
      <c r="A66" s="1">
        <v>9</v>
      </c>
      <c r="B66" s="1" t="s">
        <v>11</v>
      </c>
      <c r="C66" s="1">
        <f>'TP加班-請假總合累計_2023+2024'!C11</f>
        <v>-46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40"/>
    </row>
    <row r="67" spans="1:16" ht="30" customHeight="1">
      <c r="A67" s="1">
        <v>10</v>
      </c>
      <c r="B67" s="1" t="s">
        <v>12</v>
      </c>
      <c r="C67" s="1">
        <f>'TP加班-請假總合累計_2023+2024'!C12</f>
        <v>18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40"/>
    </row>
    <row r="68" spans="1:16" ht="30" customHeight="1">
      <c r="A68" s="1">
        <v>11</v>
      </c>
      <c r="B68" s="1" t="s">
        <v>13</v>
      </c>
      <c r="C68" s="1">
        <f>'TP加班-請假總合累計_2023+2024'!C13</f>
        <v>24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40"/>
    </row>
    <row r="69" spans="1:16" ht="30" customHeight="1">
      <c r="A69" s="1">
        <v>12</v>
      </c>
      <c r="B69" s="1" t="s">
        <v>14</v>
      </c>
      <c r="C69" s="1">
        <f>'TP加班-請假總合累計_2023+2024'!C14</f>
        <v>329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40"/>
    </row>
    <row r="70" spans="1:16" ht="30" customHeight="1">
      <c r="A70" s="1">
        <v>13</v>
      </c>
      <c r="B70" s="1" t="s">
        <v>16</v>
      </c>
      <c r="C70" s="1">
        <f>'TP加班-請假總合累計_2023+2024'!C16</f>
        <v>67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40"/>
    </row>
    <row r="71" spans="1:16" ht="30" customHeight="1">
      <c r="A71" s="1">
        <v>14</v>
      </c>
      <c r="B71" s="1" t="s">
        <v>271</v>
      </c>
      <c r="C71" s="1">
        <f>'TP加班-請假總合累計_2023+2024'!C17</f>
        <v>-13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40"/>
    </row>
    <row r="72" spans="1:16" ht="30" customHeight="1">
      <c r="A72" s="1">
        <v>15</v>
      </c>
      <c r="B72" s="1" t="s">
        <v>301</v>
      </c>
      <c r="C72" s="1">
        <f>'TP加班-請假總合累計_2023+2024'!C19</f>
        <v>17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40"/>
    </row>
  </sheetData>
  <mergeCells count="61">
    <mergeCell ref="P58:P72"/>
    <mergeCell ref="K56:K57"/>
    <mergeCell ref="L56:L57"/>
    <mergeCell ref="M56:M57"/>
    <mergeCell ref="N56:N57"/>
    <mergeCell ref="O56:O57"/>
    <mergeCell ref="P56:P57"/>
    <mergeCell ref="P38:P39"/>
    <mergeCell ref="A56:B56"/>
    <mergeCell ref="C56:C57"/>
    <mergeCell ref="D56:D57"/>
    <mergeCell ref="E56:E57"/>
    <mergeCell ref="F56:F57"/>
    <mergeCell ref="G56:G57"/>
    <mergeCell ref="H56:H57"/>
    <mergeCell ref="I56:I57"/>
    <mergeCell ref="J56:J57"/>
    <mergeCell ref="J38:J39"/>
    <mergeCell ref="K38:K39"/>
    <mergeCell ref="L38:L39"/>
    <mergeCell ref="M38:M39"/>
    <mergeCell ref="N38:N39"/>
    <mergeCell ref="O38:O39"/>
    <mergeCell ref="O20:O21"/>
    <mergeCell ref="P20:P21"/>
    <mergeCell ref="A38:B38"/>
    <mergeCell ref="C38:C39"/>
    <mergeCell ref="D38:D39"/>
    <mergeCell ref="E38:E39"/>
    <mergeCell ref="F38:F39"/>
    <mergeCell ref="G38:G39"/>
    <mergeCell ref="H38:H39"/>
    <mergeCell ref="I38:I39"/>
    <mergeCell ref="I20:I21"/>
    <mergeCell ref="J20:J21"/>
    <mergeCell ref="K20:K21"/>
    <mergeCell ref="L20:L21"/>
    <mergeCell ref="M20:M21"/>
    <mergeCell ref="N20:N21"/>
    <mergeCell ref="O1:O2"/>
    <mergeCell ref="C1:C2"/>
    <mergeCell ref="P1:P2"/>
    <mergeCell ref="A20:B20"/>
    <mergeCell ref="C20:C21"/>
    <mergeCell ref="D20:D21"/>
    <mergeCell ref="E20:E21"/>
    <mergeCell ref="F20:F21"/>
    <mergeCell ref="G20:G21"/>
    <mergeCell ref="H20:H21"/>
    <mergeCell ref="I1:I2"/>
    <mergeCell ref="J1:J2"/>
    <mergeCell ref="K1:K2"/>
    <mergeCell ref="L1:L2"/>
    <mergeCell ref="M1:M2"/>
    <mergeCell ref="N1:N2"/>
    <mergeCell ref="H1:H2"/>
    <mergeCell ref="A1:B1"/>
    <mergeCell ref="D1:D2"/>
    <mergeCell ref="E1:E2"/>
    <mergeCell ref="F1:F2"/>
    <mergeCell ref="G1:G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'2024分析表'!C58:C72</xm:f>
              <xm:sqref>P58</xm:sqref>
            </x14:sparkline>
          </x14:sparklines>
        </x14:sparklineGroup>
        <x14:sparklineGroup type="column" displayEmptyCellsAs="gap" displayXAxis="1" xr2:uid="{00000000-0003-0000-0000-000001000000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'2024分析表'!D41:M41</xm:f>
              <xm:sqref>P41</xm:sqref>
            </x14:sparkline>
            <x14:sparkline>
              <xm:f>'2024分析表'!D42:M42</xm:f>
              <xm:sqref>P42</xm:sqref>
            </x14:sparkline>
            <x14:sparkline>
              <xm:f>'2024分析表'!D43:M43</xm:f>
              <xm:sqref>P43</xm:sqref>
            </x14:sparkline>
            <x14:sparkline>
              <xm:f>'2024分析表'!D44:M44</xm:f>
              <xm:sqref>P44</xm:sqref>
            </x14:sparkline>
            <x14:sparkline>
              <xm:f>'2024分析表'!D45:M45</xm:f>
              <xm:sqref>P45</xm:sqref>
            </x14:sparkline>
            <x14:sparkline>
              <xm:f>'2024分析表'!D46:M46</xm:f>
              <xm:sqref>P46</xm:sqref>
            </x14:sparkline>
            <x14:sparkline>
              <xm:f>'2024分析表'!D47:M47</xm:f>
              <xm:sqref>P47</xm:sqref>
            </x14:sparkline>
            <x14:sparkline>
              <xm:f>'2024分析表'!D48:M48</xm:f>
              <xm:sqref>P48</xm:sqref>
            </x14:sparkline>
            <x14:sparkline>
              <xm:f>'2024分析表'!D49:M49</xm:f>
              <xm:sqref>P49</xm:sqref>
            </x14:sparkline>
            <x14:sparkline>
              <xm:f>'2024分析表'!D50:M50</xm:f>
              <xm:sqref>P50</xm:sqref>
            </x14:sparkline>
            <x14:sparkline>
              <xm:f>'2024分析表'!D51:M51</xm:f>
              <xm:sqref>P51</xm:sqref>
            </x14:sparkline>
            <x14:sparkline>
              <xm:f>'2024分析表'!D52:M52</xm:f>
              <xm:sqref>P52</xm:sqref>
            </x14:sparkline>
            <x14:sparkline>
              <xm:f>'2024分析表'!D53:M53</xm:f>
              <xm:sqref>P53</xm:sqref>
            </x14:sparkline>
            <x14:sparkline>
              <xm:f>'2024分析表'!D54:M54</xm:f>
              <xm:sqref>P54</xm:sqref>
            </x14:sparkline>
          </x14:sparklines>
        </x14:sparklineGroup>
        <x14:sparklineGroup type="column" displayEmptyCellsAs="gap" displayXAxis="1" xr2:uid="{00000000-0003-0000-0000-000002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'2024分析表'!D40:M40</xm:f>
              <xm:sqref>P40</xm:sqref>
            </x14:sparkline>
          </x14:sparklines>
        </x14:sparklineGroup>
        <x14:sparklineGroup type="column" displayEmptyCellsAs="gap" displayXAxis="1" xr2:uid="{00000000-0003-0000-0000-000003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'2024分析表'!D22:M22</xm:f>
              <xm:sqref>P22</xm:sqref>
            </x14:sparkline>
          </x14:sparklines>
        </x14:sparklineGroup>
        <x14:sparklineGroup type="column" displayEmptyCellsAs="gap" displayXAxis="1" xr2:uid="{00000000-0003-0000-0000-000004000000}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'2024分析表'!D23:M23</xm:f>
              <xm:sqref>P23</xm:sqref>
            </x14:sparkline>
            <x14:sparkline>
              <xm:f>'2024分析表'!D24:M24</xm:f>
              <xm:sqref>P24</xm:sqref>
            </x14:sparkline>
            <x14:sparkline>
              <xm:f>'2024分析表'!D25:M25</xm:f>
              <xm:sqref>P25</xm:sqref>
            </x14:sparkline>
            <x14:sparkline>
              <xm:f>'2024分析表'!D26:M26</xm:f>
              <xm:sqref>P26</xm:sqref>
            </x14:sparkline>
            <x14:sparkline>
              <xm:f>'2024分析表'!D27:M27</xm:f>
              <xm:sqref>P27</xm:sqref>
            </x14:sparkline>
            <x14:sparkline>
              <xm:f>'2024分析表'!D28:M28</xm:f>
              <xm:sqref>P28</xm:sqref>
            </x14:sparkline>
            <x14:sparkline>
              <xm:f>'2024分析表'!D29:M29</xm:f>
              <xm:sqref>P29</xm:sqref>
            </x14:sparkline>
            <x14:sparkline>
              <xm:f>'2024分析表'!D30:M30</xm:f>
              <xm:sqref>P30</xm:sqref>
            </x14:sparkline>
            <x14:sparkline>
              <xm:f>'2024分析表'!D31:M31</xm:f>
              <xm:sqref>P31</xm:sqref>
            </x14:sparkline>
            <x14:sparkline>
              <xm:f>'2024分析表'!D32:M32</xm:f>
              <xm:sqref>P32</xm:sqref>
            </x14:sparkline>
            <x14:sparkline>
              <xm:f>'2024分析表'!D33:M33</xm:f>
              <xm:sqref>P33</xm:sqref>
            </x14:sparkline>
            <x14:sparkline>
              <xm:f>'2024分析表'!D34:M34</xm:f>
              <xm:sqref>P34</xm:sqref>
            </x14:sparkline>
            <x14:sparkline>
              <xm:f>'2024分析表'!D35:M35</xm:f>
              <xm:sqref>P35</xm:sqref>
            </x14:sparkline>
            <x14:sparkline>
              <xm:f>'2024分析表'!D36:M36</xm:f>
              <xm:sqref>P36</xm:sqref>
            </x14:sparkline>
          </x14:sparklines>
        </x14:sparklineGroup>
        <x14:sparklineGroup type="column" displayEmptyCellsAs="gap" displayXAxis="1" xr2:uid="{00000000-0003-0000-0000-000005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'2024分析表'!D3:M3</xm:f>
              <xm:sqref>P3</xm:sqref>
            </x14:sparkline>
            <x14:sparkline>
              <xm:f>'2024分析表'!D4:M4</xm:f>
              <xm:sqref>P4</xm:sqref>
            </x14:sparkline>
            <x14:sparkline>
              <xm:f>'2024分析表'!D5:M5</xm:f>
              <xm:sqref>P5</xm:sqref>
            </x14:sparkline>
            <x14:sparkline>
              <xm:f>'2024分析表'!D6:M6</xm:f>
              <xm:sqref>P6</xm:sqref>
            </x14:sparkline>
            <x14:sparkline>
              <xm:f>'2024分析表'!D7:M7</xm:f>
              <xm:sqref>P7</xm:sqref>
            </x14:sparkline>
            <x14:sparkline>
              <xm:f>'2024分析表'!D8:M8</xm:f>
              <xm:sqref>P8</xm:sqref>
            </x14:sparkline>
            <x14:sparkline>
              <xm:f>'2024分析表'!D9:M9</xm:f>
              <xm:sqref>P9</xm:sqref>
            </x14:sparkline>
            <x14:sparkline>
              <xm:f>'2024分析表'!D10:M10</xm:f>
              <xm:sqref>P10</xm:sqref>
            </x14:sparkline>
            <x14:sparkline>
              <xm:f>'2024分析表'!D11:M11</xm:f>
              <xm:sqref>P11</xm:sqref>
            </x14:sparkline>
            <x14:sparkline>
              <xm:f>'2024分析表'!D12:M12</xm:f>
              <xm:sqref>P12</xm:sqref>
            </x14:sparkline>
            <x14:sparkline>
              <xm:f>'2024分析表'!D13:M13</xm:f>
              <xm:sqref>P13</xm:sqref>
            </x14:sparkline>
            <x14:sparkline>
              <xm:f>'2024分析表'!D14:M14</xm:f>
              <xm:sqref>P14</xm:sqref>
            </x14:sparkline>
            <x14:sparkline>
              <xm:f>'2024分析表'!D15:M15</xm:f>
              <xm:sqref>P15</xm:sqref>
            </x14:sparkline>
            <x14:sparkline>
              <xm:f>'2024分析表'!D16:M16</xm:f>
              <xm:sqref>P16</xm:sqref>
            </x14:sparkline>
            <x14:sparkline>
              <xm:f>'2024分析表'!D17:M17</xm:f>
              <xm:sqref>P17</xm:sqref>
            </x14:sparkline>
            <x14:sparkline>
              <xm:f>'2024分析表'!D18:M18</xm:f>
              <xm:sqref>P18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S21"/>
  <sheetViews>
    <sheetView workbookViewId="0">
      <selection activeCell="N19" sqref="N19"/>
    </sheetView>
  </sheetViews>
  <sheetFormatPr baseColWidth="10" defaultColWidth="8.83203125" defaultRowHeight="15"/>
  <cols>
    <col min="1" max="2" width="15.83203125" customWidth="1"/>
    <col min="3" max="13" width="19.83203125" hidden="1" customWidth="1"/>
    <col min="14" max="14" width="19.83203125" customWidth="1"/>
    <col min="15" max="15" width="17.33203125" bestFit="1" customWidth="1"/>
  </cols>
  <sheetData>
    <row r="1" spans="1:19" ht="28.25" customHeight="1">
      <c r="A1" s="51" t="s">
        <v>20</v>
      </c>
      <c r="B1" s="52"/>
      <c r="C1" s="43" t="s">
        <v>54</v>
      </c>
      <c r="D1" s="43" t="s">
        <v>55</v>
      </c>
      <c r="E1" s="43" t="s">
        <v>141</v>
      </c>
      <c r="F1" s="43" t="s">
        <v>140</v>
      </c>
      <c r="G1" s="43" t="s">
        <v>158</v>
      </c>
      <c r="H1" s="43" t="s">
        <v>208</v>
      </c>
      <c r="I1" s="43" t="s">
        <v>209</v>
      </c>
      <c r="J1" s="43" t="s">
        <v>338</v>
      </c>
      <c r="K1" s="43" t="s">
        <v>339</v>
      </c>
      <c r="L1" s="43" t="s">
        <v>340</v>
      </c>
      <c r="M1" s="43" t="s">
        <v>341</v>
      </c>
      <c r="N1" s="43" t="s">
        <v>342</v>
      </c>
      <c r="O1" s="37" t="s">
        <v>32</v>
      </c>
    </row>
    <row r="2" spans="1:19" ht="16.25" customHeight="1">
      <c r="A2" s="1" t="s">
        <v>1</v>
      </c>
      <c r="B2" s="1" t="s">
        <v>2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38"/>
    </row>
    <row r="3" spans="1:19">
      <c r="A3" s="1">
        <v>1</v>
      </c>
      <c r="B3" s="1" t="s">
        <v>3</v>
      </c>
      <c r="C3" s="1">
        <f>TP1月份加班!C3-TP1月份請假!C3</f>
        <v>0</v>
      </c>
      <c r="D3" s="1">
        <f>TP2月份加班!C3-TP2月份請假!C3</f>
        <v>0</v>
      </c>
      <c r="E3" s="1">
        <f>TP3月份加班!C3-TP3月份請假!C3</f>
        <v>0</v>
      </c>
      <c r="F3" s="1">
        <f>TP4月份加班!C3-TP4月份請假!C3</f>
        <v>0</v>
      </c>
      <c r="G3" s="1">
        <f>TP5月份加班!C3-TP5月份請假!C3</f>
        <v>0</v>
      </c>
      <c r="H3" s="1">
        <f>TP6月份加班!C3-TP6月份請假!C3</f>
        <v>0</v>
      </c>
      <c r="I3" s="1">
        <f>TP7月份加班!C3-TP7月份請假!C3</f>
        <v>0</v>
      </c>
      <c r="J3" s="1">
        <f>TP8月份加班!C3-TP8月份請假!C3</f>
        <v>0</v>
      </c>
      <c r="K3" s="1">
        <f>TP9月份加班!C3-TP9月份請假!C3</f>
        <v>0</v>
      </c>
      <c r="L3" s="1">
        <f>TP10月份加班!C3-TP10月份請假!C3</f>
        <v>0</v>
      </c>
      <c r="M3" s="1">
        <f>TP11月份加班!C3-TP11月份請假!C3</f>
        <v>0</v>
      </c>
      <c r="N3" s="1">
        <f>TP12月份加班!C3-TP12月份請假!C3</f>
        <v>0</v>
      </c>
      <c r="O3" s="1">
        <f>SUM(C3:N3)</f>
        <v>0</v>
      </c>
    </row>
    <row r="4" spans="1:19">
      <c r="A4" s="1">
        <v>2</v>
      </c>
      <c r="B4" s="1" t="s">
        <v>4</v>
      </c>
      <c r="C4" s="1">
        <f>TP1月份加班!C4-TP1月份請假!C4</f>
        <v>0</v>
      </c>
      <c r="D4" s="1">
        <f>TP2月份加班!C4-TP2月份請假!C4</f>
        <v>-23</v>
      </c>
      <c r="E4" s="1">
        <f>TP3月份加班!C4-TP3月份請假!C4</f>
        <v>-9</v>
      </c>
      <c r="F4" s="1">
        <f>TP4月份加班!C4-TP4月份請假!C4</f>
        <v>-3</v>
      </c>
      <c r="G4" s="1">
        <f>TP5月份加班!C4-TP5月份請假!C4</f>
        <v>0</v>
      </c>
      <c r="H4" s="1">
        <f>TP6月份加班!C4-TP6月份請假!C4</f>
        <v>-8</v>
      </c>
      <c r="I4" s="1">
        <f>TP7月份加班!C4-TP7月份請假!C4</f>
        <v>-16</v>
      </c>
      <c r="J4" s="1">
        <f>TP8月份加班!C4-TP8月份請假!C4</f>
        <v>22</v>
      </c>
      <c r="K4" s="1">
        <f>TP9月份加班!C4-TP9月份請假!C4</f>
        <v>-35</v>
      </c>
      <c r="L4" s="1">
        <f>TP10月份加班!C4-TP10月份請假!C4</f>
        <v>-29</v>
      </c>
      <c r="M4" s="1">
        <f>TP11月份加班!C4-TP11月份請假!C4</f>
        <v>-11</v>
      </c>
      <c r="N4" s="1">
        <f>TP12月份加班!C4-TP12月份請假!C4</f>
        <v>-26</v>
      </c>
      <c r="O4" s="1">
        <f t="shared" ref="O4:O19" si="0">SUM(C4:N4)</f>
        <v>-138</v>
      </c>
    </row>
    <row r="5" spans="1:19">
      <c r="A5" s="1">
        <v>3</v>
      </c>
      <c r="B5" s="1" t="s">
        <v>5</v>
      </c>
      <c r="C5" s="1">
        <f>TP1月份加班!C5-TP1月份請假!C5</f>
        <v>-2</v>
      </c>
      <c r="D5" s="1">
        <f>TP2月份加班!C5-TP2月份請假!C5</f>
        <v>-9</v>
      </c>
      <c r="E5" s="1">
        <f>TP3月份加班!C5-TP3月份請假!C5</f>
        <v>-25</v>
      </c>
      <c r="F5" s="1">
        <f>TP4月份加班!C5-TP4月份請假!C5</f>
        <v>-32</v>
      </c>
      <c r="G5" s="1">
        <f>TP5月份加班!C5-TP5月份請假!C5</f>
        <v>19</v>
      </c>
      <c r="H5" s="1">
        <f>TP6月份加班!C5-TP6月份請假!C5</f>
        <v>1</v>
      </c>
      <c r="I5" s="1">
        <f>TP7月份加班!C5-TP7月份請假!C5</f>
        <v>-21</v>
      </c>
      <c r="J5" s="1">
        <f>TP8月份加班!C5-TP8月份請假!C5</f>
        <v>-3</v>
      </c>
      <c r="K5" s="1">
        <f>TP9月份加班!C5-TP9月份請假!C5</f>
        <v>-10</v>
      </c>
      <c r="L5" s="1">
        <f>TP10月份加班!C5-TP10月份請假!C5</f>
        <v>-12</v>
      </c>
      <c r="M5" s="1">
        <f>TP11月份加班!C5-TP11月份請假!C5</f>
        <v>0</v>
      </c>
      <c r="N5" s="1">
        <f>TP12月份加班!C5-TP12月份請假!C5</f>
        <v>-6</v>
      </c>
      <c r="O5" s="1">
        <f t="shared" si="0"/>
        <v>-100</v>
      </c>
    </row>
    <row r="6" spans="1:19">
      <c r="A6" s="1">
        <v>4</v>
      </c>
      <c r="B6" s="1" t="s">
        <v>6</v>
      </c>
      <c r="C6" s="1">
        <f>TP1月份加班!C6-TP1月份請假!C6</f>
        <v>-10</v>
      </c>
      <c r="D6" s="1">
        <f>TP2月份加班!C6-TP2月份請假!C6</f>
        <v>-40</v>
      </c>
      <c r="E6" s="1">
        <f>TP3月份加班!C6-TP3月份請假!C6</f>
        <v>-9</v>
      </c>
      <c r="F6" s="1">
        <f>TP4月份加班!C6-TP4月份請假!C6</f>
        <v>11</v>
      </c>
      <c r="G6" s="1">
        <f>TP5月份加班!C6-TP5月份請假!C6</f>
        <v>-16</v>
      </c>
      <c r="H6" s="1">
        <f>TP6月份加班!C6-TP6月份請假!C6</f>
        <v>-21</v>
      </c>
      <c r="I6" s="1">
        <f>TP7月份加班!C6-TP7月份請假!C6</f>
        <v>-15</v>
      </c>
      <c r="J6" s="1">
        <f>TP8月份加班!C6-TP8月份請假!C6</f>
        <v>20</v>
      </c>
      <c r="K6" s="1">
        <f>TP9月份加班!C6-TP9月份請假!C6</f>
        <v>-11</v>
      </c>
      <c r="L6" s="1">
        <f>TP10月份加班!C6-TP10月份請假!C6</f>
        <v>-22</v>
      </c>
      <c r="M6" s="1">
        <f>TP11月份加班!C6-TP11月份請假!C6</f>
        <v>18</v>
      </c>
      <c r="N6" s="1">
        <f>TP12月份加班!C6-TP12月份請假!C6</f>
        <v>18</v>
      </c>
      <c r="O6" s="1">
        <f t="shared" si="0"/>
        <v>-77</v>
      </c>
    </row>
    <row r="7" spans="1:19">
      <c r="A7" s="1">
        <v>5</v>
      </c>
      <c r="B7" s="1" t="s">
        <v>7</v>
      </c>
      <c r="C7" s="1">
        <f>TP1月份加班!C7-TP1月份請假!C7</f>
        <v>-7</v>
      </c>
      <c r="D7" s="1">
        <f>TP2月份加班!C7-TP2月份請假!C7</f>
        <v>-21</v>
      </c>
      <c r="E7" s="1">
        <f>TP3月份加班!C7-TP3月份請假!C7</f>
        <v>16</v>
      </c>
      <c r="F7" s="1">
        <f>TP4月份加班!C7-TP4月份請假!C7</f>
        <v>-27</v>
      </c>
      <c r="G7" s="1">
        <f>TP5月份加班!C7-TP5月份請假!C7</f>
        <v>-16</v>
      </c>
      <c r="H7" s="1">
        <f>TP6月份加班!C7-TP6月份請假!C7</f>
        <v>-16</v>
      </c>
      <c r="I7" s="1">
        <f>TP7月份加班!C7-TP7月份請假!C7</f>
        <v>-7</v>
      </c>
      <c r="J7" s="1">
        <f>TP8月份加班!C7-TP8月份請假!C7</f>
        <v>-10</v>
      </c>
      <c r="K7" s="1">
        <f>TP9月份加班!C7-TP9月份請假!C7</f>
        <v>-14</v>
      </c>
      <c r="L7" s="1">
        <f>TP10月份加班!C7-TP10月份請假!C7</f>
        <v>-8</v>
      </c>
      <c r="M7" s="1">
        <f>TP11月份加班!C7-TP11月份請假!C7</f>
        <v>8</v>
      </c>
      <c r="N7" s="1">
        <f>TP12月份加班!C7-TP12月份請假!C7</f>
        <v>-15</v>
      </c>
      <c r="O7" s="1">
        <f t="shared" si="0"/>
        <v>-117</v>
      </c>
      <c r="S7" t="s">
        <v>18</v>
      </c>
    </row>
    <row r="8" spans="1:19">
      <c r="A8" s="1">
        <v>6</v>
      </c>
      <c r="B8" s="1" t="s">
        <v>8</v>
      </c>
      <c r="C8" s="1">
        <f>TP1月份加班!C8-TP1月份請假!C8</f>
        <v>17</v>
      </c>
      <c r="D8" s="1">
        <f>TP2月份加班!C8-TP2月份請假!C8</f>
        <v>4</v>
      </c>
      <c r="E8" s="1">
        <f>TP3月份加班!C8-TP3月份請假!C8</f>
        <v>34</v>
      </c>
      <c r="F8" s="1">
        <f>TP4月份加班!C8-TP4月份請假!C8</f>
        <v>19</v>
      </c>
      <c r="G8" s="1">
        <f>TP5月份加班!C8-TP5月份請假!C8</f>
        <v>0</v>
      </c>
      <c r="H8" s="1">
        <f>TP6月份加班!C8-TP6月份請假!C8</f>
        <v>-18</v>
      </c>
      <c r="I8" s="1">
        <f>TP7月份加班!C8-TP7月份請假!C8</f>
        <v>-3</v>
      </c>
      <c r="J8" s="1">
        <f>TP8月份加班!C8-TP8月份請假!C8</f>
        <v>-9</v>
      </c>
      <c r="K8" s="1">
        <f>TP9月份加班!C8-TP9月份請假!C8</f>
        <v>-30</v>
      </c>
      <c r="L8" s="1">
        <f>TP10月份加班!C8-TP10月份請假!C8</f>
        <v>-28</v>
      </c>
      <c r="M8" s="1">
        <f>TP11月份加班!C8-TP11月份請假!C8</f>
        <v>-14</v>
      </c>
      <c r="N8" s="1">
        <f>TP12月份加班!C8-TP12月份請假!C8</f>
        <v>-34</v>
      </c>
      <c r="O8" s="1">
        <f t="shared" si="0"/>
        <v>-62</v>
      </c>
    </row>
    <row r="9" spans="1:19">
      <c r="A9" s="1">
        <v>7</v>
      </c>
      <c r="B9" s="1" t="s">
        <v>9</v>
      </c>
      <c r="C9" s="1">
        <f>TP1月份加班!C9-TP1月份請假!C9</f>
        <v>-6</v>
      </c>
      <c r="D9" s="1">
        <f>TP2月份加班!C9-TP2月份請假!C9</f>
        <v>-9</v>
      </c>
      <c r="E9" s="1">
        <f>TP3月份加班!C9-TP3月份請假!C9</f>
        <v>-11</v>
      </c>
      <c r="F9" s="1">
        <f>TP4月份加班!C9-TP4月份請假!C9</f>
        <v>18</v>
      </c>
      <c r="G9" s="1">
        <f>TP5月份加班!C9-TP5月份請假!C9</f>
        <v>4</v>
      </c>
      <c r="H9" s="1">
        <f>TP6月份加班!C9-TP6月份請假!C9</f>
        <v>-12</v>
      </c>
      <c r="I9" s="1">
        <f>TP7月份加班!C9-TP7月份請假!C9</f>
        <v>-11</v>
      </c>
      <c r="J9" s="1">
        <f>TP8月份加班!C9-TP8月份請假!C9</f>
        <v>-20</v>
      </c>
      <c r="K9" s="1">
        <f>TP9月份加班!C9-TP9月份請假!C9</f>
        <v>1</v>
      </c>
      <c r="L9" s="1">
        <f>TP10月份加班!C9-TP10月份請假!C9</f>
        <v>-5</v>
      </c>
      <c r="M9" s="1">
        <f>TP11月份加班!C9-TP11月份請假!C9</f>
        <v>25</v>
      </c>
      <c r="N9" s="1">
        <f>TP12月份加班!C9-TP12月份請假!C9</f>
        <v>-7</v>
      </c>
      <c r="O9" s="1">
        <f t="shared" si="0"/>
        <v>-33</v>
      </c>
    </row>
    <row r="10" spans="1:19">
      <c r="A10" s="1">
        <v>8</v>
      </c>
      <c r="B10" s="1" t="s">
        <v>10</v>
      </c>
      <c r="C10" s="1">
        <f>TP1月份加班!C10-TP1月份請假!C10</f>
        <v>6</v>
      </c>
      <c r="D10" s="1">
        <f>TP2月份加班!C10-TP2月份請假!C10</f>
        <v>-56</v>
      </c>
      <c r="E10" s="1">
        <f>TP3月份加班!C10-TP3月份請假!C10</f>
        <v>0</v>
      </c>
      <c r="F10" s="1">
        <f>TP4月份加班!C10-TP4月份請假!C10</f>
        <v>11</v>
      </c>
      <c r="G10" s="1">
        <f>TP5月份加班!C10-TP5月份請假!C10</f>
        <v>0</v>
      </c>
      <c r="H10" s="1">
        <f>TP6月份加班!C10-TP6月份請假!C10</f>
        <v>-10</v>
      </c>
      <c r="I10" s="1">
        <f>TP7月份加班!C10-TP7月份請假!C10</f>
        <v>0</v>
      </c>
      <c r="J10" s="1">
        <f>TP8月份加班!C10-TP8月份請假!C10</f>
        <v>-24</v>
      </c>
      <c r="K10" s="1">
        <f>TP9月份加班!C10-TP9月份請假!C10</f>
        <v>-4</v>
      </c>
      <c r="L10" s="1">
        <f>TP10月份加班!C10-TP10月份請假!C10</f>
        <v>0</v>
      </c>
      <c r="M10" s="1">
        <f>TP11月份加班!C10-TP11月份請假!C10</f>
        <v>-8</v>
      </c>
      <c r="N10" s="1">
        <f>TP12月份加班!C10-TP12月份請假!C10</f>
        <v>-16</v>
      </c>
      <c r="O10" s="1">
        <f t="shared" si="0"/>
        <v>-101</v>
      </c>
    </row>
    <row r="11" spans="1:19">
      <c r="A11" s="1">
        <v>9</v>
      </c>
      <c r="B11" s="1" t="s">
        <v>11</v>
      </c>
      <c r="C11" s="1">
        <f>TP1月份加班!C11-TP1月份請假!C11</f>
        <v>6</v>
      </c>
      <c r="D11" s="1">
        <f>TP2月份加班!C11-TP2月份請假!C11</f>
        <v>-31</v>
      </c>
      <c r="E11" s="1">
        <f>TP3月份加班!C11-TP3月份請假!C11</f>
        <v>16</v>
      </c>
      <c r="F11" s="1">
        <f>TP4月份加班!C11-TP4月份請假!C11</f>
        <v>-31</v>
      </c>
      <c r="G11" s="1">
        <f>TP5月份加班!C11-TP5月份請假!C11</f>
        <v>-4</v>
      </c>
      <c r="H11" s="1">
        <f>TP6月份加班!C11-TP6月份請假!C11</f>
        <v>-18</v>
      </c>
      <c r="I11" s="1">
        <f>TP7月份加班!C11-TP7月份請假!C11</f>
        <v>-24</v>
      </c>
      <c r="J11" s="1">
        <f>TP8月份加班!C11-TP8月份請假!C11</f>
        <v>93</v>
      </c>
      <c r="K11" s="1">
        <f>TP9月份加班!C11-TP9月份請假!C11</f>
        <v>-21</v>
      </c>
      <c r="L11" s="1">
        <f>TP10月份加班!C11-TP10月份請假!C11</f>
        <v>-30</v>
      </c>
      <c r="M11" s="1">
        <f>TP11月份加班!C11-TP11月份請假!C11</f>
        <v>-16</v>
      </c>
      <c r="N11" s="1">
        <f>TP12月份加班!C11-TP12月份請假!C11</f>
        <v>-33</v>
      </c>
      <c r="O11" s="1">
        <f t="shared" si="0"/>
        <v>-93</v>
      </c>
    </row>
    <row r="12" spans="1:19">
      <c r="A12" s="1">
        <v>10</v>
      </c>
      <c r="B12" s="1" t="s">
        <v>12</v>
      </c>
      <c r="C12" s="1">
        <f>TP1月份加班!C12-TP1月份請假!C12</f>
        <v>-10</v>
      </c>
      <c r="D12" s="1">
        <f>TP2月份加班!C12-TP2月份請假!C12</f>
        <v>0</v>
      </c>
      <c r="E12" s="1">
        <f>TP3月份加班!C12-TP3月份請假!C12</f>
        <v>-16</v>
      </c>
      <c r="F12" s="1">
        <f>TP4月份加班!C12-TP4月份請假!C12</f>
        <v>22</v>
      </c>
      <c r="G12" s="1">
        <f>TP5月份加班!C12-TP5月份請假!C12</f>
        <v>-16</v>
      </c>
      <c r="H12" s="1">
        <f>TP6月份加班!C12-TP6月份請假!C12</f>
        <v>-16</v>
      </c>
      <c r="I12" s="1">
        <f>TP7月份加班!C12-TP7月份請假!C12</f>
        <v>0</v>
      </c>
      <c r="J12" s="1">
        <f>TP8月份加班!C12-TP8月份請假!C12</f>
        <v>2</v>
      </c>
      <c r="K12" s="1">
        <f>TP9月份加班!C12-TP9月份請假!C12</f>
        <v>4</v>
      </c>
      <c r="L12" s="1">
        <f>TP10月份加班!C12-TP10月份請假!C12</f>
        <v>-16</v>
      </c>
      <c r="M12" s="1">
        <f>TP11月份加班!C12-TP11月份請假!C12</f>
        <v>15</v>
      </c>
      <c r="N12" s="1">
        <f>TP12月份加班!C12-TP12月份請假!C12</f>
        <v>-29</v>
      </c>
      <c r="O12" s="1">
        <f t="shared" si="0"/>
        <v>-60</v>
      </c>
    </row>
    <row r="13" spans="1:19">
      <c r="A13" s="1">
        <v>11</v>
      </c>
      <c r="B13" s="1" t="s">
        <v>13</v>
      </c>
      <c r="C13" s="1">
        <f>TP1月份加班!C13-TP1月份請假!C13</f>
        <v>17</v>
      </c>
      <c r="D13" s="1">
        <f>TP2月份加班!C13-TP2月份請假!C13</f>
        <v>-93</v>
      </c>
      <c r="E13" s="1">
        <f>TP3月份加班!C13-TP3月份請假!C13</f>
        <v>-16</v>
      </c>
      <c r="F13" s="1">
        <f>TP4月份加班!C13-TP4月份請假!C13</f>
        <v>38</v>
      </c>
      <c r="G13" s="1">
        <f>TP5月份加班!C13-TP5月份請假!C13</f>
        <v>39</v>
      </c>
      <c r="H13" s="1">
        <f>TP6月份加班!C13-TP6月份請假!C13</f>
        <v>71</v>
      </c>
      <c r="I13" s="1">
        <f>TP7月份加班!C13-TP7月份請假!C13</f>
        <v>-33</v>
      </c>
      <c r="J13" s="1">
        <f>TP8月份加班!C13-TP8月份請假!C13</f>
        <v>-32</v>
      </c>
      <c r="K13" s="1">
        <f>TP9月份加班!C13-TP9月份請假!C13</f>
        <v>-24</v>
      </c>
      <c r="L13" s="1">
        <f>TP10月份加班!C13-TP10月份請假!C13</f>
        <v>-22</v>
      </c>
      <c r="M13" s="1">
        <f>TP11月份加班!C13-TP11月份請假!C13</f>
        <v>-18</v>
      </c>
      <c r="N13" s="1">
        <f>TP12月份加班!C13-TP12月份請假!C13</f>
        <v>-16</v>
      </c>
      <c r="O13" s="1">
        <f t="shared" si="0"/>
        <v>-89</v>
      </c>
    </row>
    <row r="14" spans="1:19">
      <c r="A14" s="1">
        <v>12</v>
      </c>
      <c r="B14" s="1" t="s">
        <v>14</v>
      </c>
      <c r="C14" s="1">
        <f>TP1月份加班!C14-TP1月份請假!C14</f>
        <v>44</v>
      </c>
      <c r="D14" s="1">
        <f>TP2月份加班!C14-TP2月份請假!C14</f>
        <v>0</v>
      </c>
      <c r="E14" s="1">
        <f>TP3月份加班!C14-TP3月份請假!C14</f>
        <v>11</v>
      </c>
      <c r="F14" s="1">
        <f>TP4月份加班!C14-TP4月份請假!C14</f>
        <v>2</v>
      </c>
      <c r="G14" s="1">
        <f>TP5月份加班!C14-TP5月份請假!C14</f>
        <v>43</v>
      </c>
      <c r="H14" s="1">
        <f>TP6月份加班!C14-TP6月份請假!C14</f>
        <v>18</v>
      </c>
      <c r="I14" s="1">
        <f>TP7月份加班!C14-TP7月份請假!C14</f>
        <v>16</v>
      </c>
      <c r="J14" s="1">
        <f>TP8月份加班!C14-TP8月份請假!C14</f>
        <v>-16</v>
      </c>
      <c r="K14" s="1">
        <f>TP9月份加班!C14-TP9月份請假!C14</f>
        <v>-16</v>
      </c>
      <c r="L14" s="1">
        <f>TP10月份加班!C14-TP10月份請假!C14</f>
        <v>0</v>
      </c>
      <c r="M14" s="1">
        <f>TP11月份加班!C14-TP11月份請假!C14</f>
        <v>15</v>
      </c>
      <c r="N14" s="1">
        <f>TP12月份加班!C14-TP12月份請假!C14</f>
        <v>-128</v>
      </c>
      <c r="O14" s="1">
        <f t="shared" si="0"/>
        <v>-11</v>
      </c>
    </row>
    <row r="15" spans="1:19" hidden="1">
      <c r="A15" s="1">
        <v>13</v>
      </c>
      <c r="B15" s="1" t="s">
        <v>15</v>
      </c>
      <c r="C15" s="1">
        <f>TP1月份加班!C15-TP1月份請假!C15</f>
        <v>5</v>
      </c>
      <c r="D15" s="1">
        <f>TP2月份加班!C15-TP2月份請假!C15</f>
        <v>-48</v>
      </c>
      <c r="E15" s="1">
        <f>TP3月份加班!C15-TP3月份請假!C15</f>
        <v>23</v>
      </c>
      <c r="F15" s="1">
        <f>TP4月份加班!C15-TP4月份請假!C15</f>
        <v>-9</v>
      </c>
      <c r="G15" s="1">
        <f>TP5月份加班!C15-TP5月份請假!C15</f>
        <v>-22</v>
      </c>
      <c r="H15" s="1">
        <f>TP6月份加班!C15-TP6月份請假!C15</f>
        <v>-16</v>
      </c>
      <c r="I15" s="1">
        <f>TP7月份加班!C15-TP7月份請假!C15</f>
        <v>-16</v>
      </c>
      <c r="J15" s="1">
        <f>TP8月份加班!C15-TP8月份請假!C15</f>
        <v>0</v>
      </c>
      <c r="K15" s="1">
        <f>TP9月份加班!C15-TP9月份請假!C15</f>
        <v>0</v>
      </c>
      <c r="L15" s="1">
        <f>TP10月份加班!C15-TP10月份請假!C15</f>
        <v>0</v>
      </c>
      <c r="M15" s="1">
        <f>TP11月份加班!C15-TP11月份請假!C15</f>
        <v>0</v>
      </c>
      <c r="N15" s="1">
        <f>TP12月份加班!C15-TP12月份請假!C15</f>
        <v>0</v>
      </c>
      <c r="O15" s="1">
        <f t="shared" si="0"/>
        <v>-83</v>
      </c>
    </row>
    <row r="16" spans="1:19">
      <c r="A16" s="1">
        <v>13</v>
      </c>
      <c r="B16" s="1" t="s">
        <v>16</v>
      </c>
      <c r="C16" s="1">
        <f>TP1月份加班!C16-TP1月份請假!C16</f>
        <v>30</v>
      </c>
      <c r="D16" s="1">
        <f>TP2月份加班!C16-TP2月份請假!C16</f>
        <v>-28</v>
      </c>
      <c r="E16" s="1">
        <f>TP3月份加班!C16-TP3月份請假!C16</f>
        <v>34</v>
      </c>
      <c r="F16" s="1">
        <f>TP4月份加班!C16-TP4月份請假!C16</f>
        <v>-11</v>
      </c>
      <c r="G16" s="1">
        <f>TP5月份加班!C16-TP5月份請假!C16</f>
        <v>-7</v>
      </c>
      <c r="H16" s="1">
        <f>TP6月份加班!C16-TP6月份請假!C16</f>
        <v>-14</v>
      </c>
      <c r="I16" s="1">
        <f>TP7月份加班!C16-TP7月份請假!C16</f>
        <v>-48</v>
      </c>
      <c r="J16" s="1">
        <f>TP8月份加班!C16-TP8月份請假!C16</f>
        <v>85</v>
      </c>
      <c r="K16" s="1">
        <f>TP9月份加班!C16-TP9月份請假!C16</f>
        <v>15</v>
      </c>
      <c r="L16" s="1">
        <f>TP10月份加班!C16-TP10月份請假!C16</f>
        <v>-11</v>
      </c>
      <c r="M16" s="1">
        <f>TP11月份加班!C16-TP11月份請假!C16</f>
        <v>0</v>
      </c>
      <c r="N16" s="1">
        <f>TP12月份加班!C16-TP12月份請假!C16</f>
        <v>-42</v>
      </c>
      <c r="O16" s="1">
        <f t="shared" si="0"/>
        <v>3</v>
      </c>
    </row>
    <row r="17" spans="1:15">
      <c r="A17" s="1">
        <v>14</v>
      </c>
      <c r="B17" s="1" t="s">
        <v>271</v>
      </c>
      <c r="C17" s="1"/>
      <c r="D17" s="1"/>
      <c r="E17" s="1"/>
      <c r="F17" s="1"/>
      <c r="G17" s="1"/>
      <c r="H17" s="1"/>
      <c r="I17" s="1"/>
      <c r="J17" s="1"/>
      <c r="K17" s="1">
        <f>TP9月份加班!C17-TP9月份請假!C17</f>
        <v>0</v>
      </c>
      <c r="L17" s="1">
        <f>TP10月份加班!C17-TP10月份請假!C17</f>
        <v>10</v>
      </c>
      <c r="M17" s="1">
        <f>TP11月份加班!C17-TP11月份請假!C17</f>
        <v>-8</v>
      </c>
      <c r="N17" s="1">
        <f>TP12月份加班!C17-TP12月份請假!C17</f>
        <v>-15</v>
      </c>
      <c r="O17" s="1">
        <f t="shared" si="0"/>
        <v>-13</v>
      </c>
    </row>
    <row r="18" spans="1:15">
      <c r="A18" s="1">
        <v>15</v>
      </c>
      <c r="B18" s="1" t="s">
        <v>301</v>
      </c>
      <c r="C18" s="20"/>
      <c r="D18" s="20"/>
      <c r="E18" s="20"/>
      <c r="F18" s="20"/>
      <c r="G18" s="20"/>
      <c r="H18" s="20"/>
      <c r="I18" s="20"/>
      <c r="J18" s="20"/>
      <c r="K18" s="20"/>
      <c r="L18" s="1">
        <f>TP10月份加班!C17-TP10月份請假!C17</f>
        <v>10</v>
      </c>
      <c r="M18" s="1">
        <f>TP11月份加班!C18-TP11月份請假!C18</f>
        <v>6</v>
      </c>
      <c r="N18" s="1">
        <f>TP12月份加班!C18-TP12月份請假!C18</f>
        <v>-7</v>
      </c>
      <c r="O18" s="1">
        <f t="shared" si="0"/>
        <v>9</v>
      </c>
    </row>
    <row r="19" spans="1:15">
      <c r="A19" s="1">
        <v>16</v>
      </c>
      <c r="B19" s="1" t="s">
        <v>343</v>
      </c>
      <c r="C19" s="20"/>
      <c r="D19" s="20"/>
      <c r="E19" s="20"/>
      <c r="F19" s="20"/>
      <c r="G19" s="20"/>
      <c r="H19" s="20"/>
      <c r="I19" s="20"/>
      <c r="J19" s="20"/>
      <c r="K19" s="29"/>
      <c r="L19" s="30"/>
      <c r="M19" s="1">
        <f>TP11月份加班!C19-TP11月份請假!C19</f>
        <v>0</v>
      </c>
      <c r="N19" s="1">
        <f>TP12月份加班!C19-TP12月份請假!C19</f>
        <v>17</v>
      </c>
      <c r="O19" s="1">
        <f t="shared" si="0"/>
        <v>17</v>
      </c>
    </row>
    <row r="20" spans="1:15">
      <c r="A20" s="45" t="s">
        <v>21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</row>
    <row r="21" spans="1:15">
      <c r="A21" s="48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/>
    </row>
  </sheetData>
  <mergeCells count="15">
    <mergeCell ref="A20:O21"/>
    <mergeCell ref="A1:B1"/>
    <mergeCell ref="O1:O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honeticPr fontId="1" type="noConversion"/>
  <conditionalFormatting sqref="C3:O19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21"/>
  <sheetViews>
    <sheetView workbookViewId="0">
      <selection activeCell="F8" sqref="F8"/>
    </sheetView>
  </sheetViews>
  <sheetFormatPr baseColWidth="10" defaultColWidth="8.83203125" defaultRowHeight="15"/>
  <cols>
    <col min="1" max="2" width="15.83203125" customWidth="1"/>
    <col min="3" max="3" width="23" bestFit="1" customWidth="1"/>
  </cols>
  <sheetData>
    <row r="1" spans="1:7" ht="27">
      <c r="A1" s="51" t="s">
        <v>20</v>
      </c>
      <c r="B1" s="52"/>
      <c r="C1" s="43" t="s">
        <v>34</v>
      </c>
    </row>
    <row r="2" spans="1:7" ht="16.25" customHeight="1">
      <c r="A2" s="1" t="s">
        <v>1</v>
      </c>
      <c r="B2" s="1" t="s">
        <v>2</v>
      </c>
      <c r="C2" s="44"/>
    </row>
    <row r="3" spans="1:7">
      <c r="A3" s="1">
        <v>1</v>
      </c>
      <c r="B3" s="1" t="s">
        <v>3</v>
      </c>
      <c r="C3" s="1">
        <f>'TP加班累計-請假總合_2023'!C3+'TP加班累計-請假總合_2024'!O3</f>
        <v>2</v>
      </c>
      <c r="D3" s="35"/>
    </row>
    <row r="4" spans="1:7">
      <c r="A4" s="1">
        <v>2</v>
      </c>
      <c r="B4" s="1" t="s">
        <v>4</v>
      </c>
      <c r="C4" s="1">
        <f>'TP加班累計-請假總合_2023'!C4+'TP加班累計-請假總合_2024'!O4</f>
        <v>17</v>
      </c>
      <c r="D4" s="35">
        <v>17</v>
      </c>
    </row>
    <row r="5" spans="1:7">
      <c r="A5" s="1">
        <v>3</v>
      </c>
      <c r="B5" s="1" t="s">
        <v>5</v>
      </c>
      <c r="C5" s="1">
        <f>'TP加班累計-請假總合_2023'!C5+'TP加班累計-請假總合_2024'!O5</f>
        <v>-53</v>
      </c>
      <c r="D5" s="36">
        <v>-53</v>
      </c>
    </row>
    <row r="6" spans="1:7">
      <c r="A6" s="1">
        <v>4</v>
      </c>
      <c r="B6" s="1" t="s">
        <v>6</v>
      </c>
      <c r="C6" s="1">
        <f>'TP加班累計-請假總合_2023'!C6+'TP加班累計-請假總合_2024'!O6</f>
        <v>-3</v>
      </c>
      <c r="D6" s="36">
        <v>-3</v>
      </c>
    </row>
    <row r="7" spans="1:7">
      <c r="A7" s="1">
        <v>5</v>
      </c>
      <c r="B7" s="1" t="s">
        <v>7</v>
      </c>
      <c r="C7" s="1">
        <f>'TP加班累計-請假總合_2023'!C7+'TP加班累計-請假總合_2024'!O7</f>
        <v>-24</v>
      </c>
      <c r="D7" s="36">
        <v>-24</v>
      </c>
      <c r="G7" t="s">
        <v>18</v>
      </c>
    </row>
    <row r="8" spans="1:7">
      <c r="A8" s="1">
        <v>6</v>
      </c>
      <c r="B8" s="1" t="s">
        <v>8</v>
      </c>
      <c r="C8" s="1">
        <f>'TP加班累計-請假總合_2023'!C8+'TP加班累計-請假總合_2024'!O8</f>
        <v>100</v>
      </c>
      <c r="D8" s="35">
        <v>100</v>
      </c>
    </row>
    <row r="9" spans="1:7">
      <c r="A9" s="1">
        <v>7</v>
      </c>
      <c r="B9" s="1" t="s">
        <v>9</v>
      </c>
      <c r="C9" s="1">
        <f>'TP加班累計-請假總合_2023'!C9+'TP加班累計-請假總合_2024'!O9</f>
        <v>6</v>
      </c>
      <c r="D9" s="35">
        <v>6</v>
      </c>
    </row>
    <row r="10" spans="1:7">
      <c r="A10" s="1">
        <v>8</v>
      </c>
      <c r="B10" s="1" t="s">
        <v>10</v>
      </c>
      <c r="C10" s="1">
        <f>'TP加班累計-請假總合_2023'!C10+'TP加班累計-請假總合_2024'!O10</f>
        <v>10</v>
      </c>
      <c r="D10" s="35">
        <v>10</v>
      </c>
    </row>
    <row r="11" spans="1:7">
      <c r="A11" s="1">
        <v>9</v>
      </c>
      <c r="B11" s="1" t="s">
        <v>11</v>
      </c>
      <c r="C11" s="1">
        <f>'TP加班累計-請假總合_2023'!C11+'TP加班累計-請假總合_2024'!O11</f>
        <v>-46</v>
      </c>
      <c r="D11" s="36">
        <v>-46</v>
      </c>
    </row>
    <row r="12" spans="1:7">
      <c r="A12" s="1">
        <v>10</v>
      </c>
      <c r="B12" s="1" t="s">
        <v>12</v>
      </c>
      <c r="C12" s="1">
        <f>'TP加班累計-請假總合_2023'!C12+'TP加班累計-請假總合_2024'!O12</f>
        <v>18</v>
      </c>
      <c r="D12" s="35">
        <v>18</v>
      </c>
    </row>
    <row r="13" spans="1:7">
      <c r="A13" s="1">
        <v>11</v>
      </c>
      <c r="B13" s="1" t="s">
        <v>13</v>
      </c>
      <c r="C13" s="1">
        <f>'TP加班累計-請假總合_2023'!C13+'TP加班累計-請假總合_2024'!O13</f>
        <v>24</v>
      </c>
      <c r="D13" s="35">
        <v>24</v>
      </c>
    </row>
    <row r="14" spans="1:7">
      <c r="A14" s="1">
        <v>12</v>
      </c>
      <c r="B14" s="1" t="s">
        <v>14</v>
      </c>
      <c r="C14" s="1">
        <f>'TP加班累計-請假總合_2023'!C14+'TP加班累計-請假總合_2024'!O14</f>
        <v>329</v>
      </c>
      <c r="D14" s="35">
        <v>112</v>
      </c>
    </row>
    <row r="15" spans="1:7" hidden="1">
      <c r="A15" s="1">
        <v>13</v>
      </c>
      <c r="B15" s="1" t="s">
        <v>15</v>
      </c>
      <c r="C15" s="1">
        <f>'TP加班累計-請假總合_2023'!C15+'TP加班累計-請假總合_2024'!O15</f>
        <v>-21</v>
      </c>
      <c r="D15" s="35"/>
    </row>
    <row r="16" spans="1:7">
      <c r="A16" s="1">
        <v>13</v>
      </c>
      <c r="B16" s="1" t="s">
        <v>16</v>
      </c>
      <c r="C16" s="1">
        <f>'TP加班累計-請假總合_2023'!C16+'TP加班累計-請假總合_2024'!O16</f>
        <v>67</v>
      </c>
      <c r="D16" s="35">
        <v>67</v>
      </c>
    </row>
    <row r="17" spans="1:4">
      <c r="A17" s="1">
        <v>14</v>
      </c>
      <c r="B17" s="1" t="s">
        <v>271</v>
      </c>
      <c r="C17" s="1">
        <f>'TP加班累計-請假總合_2023'!C17+'TP加班累計-請假總合_2024'!O17</f>
        <v>-13</v>
      </c>
      <c r="D17" s="36">
        <v>-13</v>
      </c>
    </row>
    <row r="18" spans="1:4">
      <c r="A18" s="1">
        <v>15</v>
      </c>
      <c r="B18" s="1" t="s">
        <v>301</v>
      </c>
      <c r="C18" s="1">
        <f>'TP加班累計-請假總合_2023'!C18+'TP加班累計-請假總合_2024'!O18</f>
        <v>9</v>
      </c>
      <c r="D18" s="35">
        <v>9</v>
      </c>
    </row>
    <row r="19" spans="1:4">
      <c r="A19" s="1">
        <v>16</v>
      </c>
      <c r="B19" s="1" t="s">
        <v>343</v>
      </c>
      <c r="C19" s="1">
        <f>'TP加班累計-請假總合_2023'!C19+'TP加班累計-請假總合_2024'!O19</f>
        <v>17</v>
      </c>
      <c r="D19" s="35">
        <v>17</v>
      </c>
    </row>
    <row r="20" spans="1:4">
      <c r="A20" s="45" t="s">
        <v>21</v>
      </c>
      <c r="B20" s="46"/>
      <c r="C20" s="47"/>
    </row>
    <row r="21" spans="1:4">
      <c r="A21" s="48"/>
      <c r="B21" s="49"/>
      <c r="C21" s="50"/>
    </row>
  </sheetData>
  <mergeCells count="3">
    <mergeCell ref="A1:B1"/>
    <mergeCell ref="C1:C2"/>
    <mergeCell ref="A20:C21"/>
  </mergeCells>
  <phoneticPr fontId="1" type="noConversion"/>
  <conditionalFormatting sqref="C3:C19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G18"/>
  <sheetViews>
    <sheetView workbookViewId="0">
      <selection activeCell="C11" sqref="C11"/>
    </sheetView>
  </sheetViews>
  <sheetFormatPr baseColWidth="10" defaultColWidth="8.83203125" defaultRowHeight="15"/>
  <cols>
    <col min="1" max="2" width="15.83203125" customWidth="1"/>
    <col min="3" max="3" width="17.33203125" bestFit="1" customWidth="1"/>
  </cols>
  <sheetData>
    <row r="1" spans="1:7" ht="27">
      <c r="A1" s="51" t="s">
        <v>20</v>
      </c>
      <c r="B1" s="52"/>
      <c r="C1" s="43" t="s">
        <v>33</v>
      </c>
    </row>
    <row r="2" spans="1:7" ht="16.25" customHeight="1">
      <c r="A2" s="1" t="s">
        <v>1</v>
      </c>
      <c r="B2" s="1" t="s">
        <v>2</v>
      </c>
      <c r="C2" s="44"/>
    </row>
    <row r="3" spans="1:7">
      <c r="A3" s="1">
        <v>1</v>
      </c>
      <c r="B3" s="1" t="s">
        <v>3</v>
      </c>
      <c r="C3" s="1">
        <v>2</v>
      </c>
    </row>
    <row r="4" spans="1:7">
      <c r="A4" s="1">
        <v>2</v>
      </c>
      <c r="B4" s="1" t="s">
        <v>4</v>
      </c>
      <c r="C4" s="1">
        <v>155</v>
      </c>
    </row>
    <row r="5" spans="1:7">
      <c r="A5" s="1">
        <v>3</v>
      </c>
      <c r="B5" s="1" t="s">
        <v>5</v>
      </c>
      <c r="C5" s="1">
        <v>47</v>
      </c>
    </row>
    <row r="6" spans="1:7">
      <c r="A6" s="1">
        <v>4</v>
      </c>
      <c r="B6" s="1" t="s">
        <v>6</v>
      </c>
      <c r="C6" s="1">
        <v>74</v>
      </c>
    </row>
    <row r="7" spans="1:7">
      <c r="A7" s="1">
        <v>5</v>
      </c>
      <c r="B7" s="1" t="s">
        <v>7</v>
      </c>
      <c r="C7" s="1">
        <v>93</v>
      </c>
      <c r="G7" t="s">
        <v>18</v>
      </c>
    </row>
    <row r="8" spans="1:7">
      <c r="A8" s="1">
        <v>6</v>
      </c>
      <c r="B8" s="1" t="s">
        <v>8</v>
      </c>
      <c r="C8" s="1">
        <v>162</v>
      </c>
    </row>
    <row r="9" spans="1:7">
      <c r="A9" s="1">
        <v>7</v>
      </c>
      <c r="B9" s="1" t="s">
        <v>9</v>
      </c>
      <c r="C9" s="1">
        <v>39</v>
      </c>
    </row>
    <row r="10" spans="1:7">
      <c r="A10" s="1">
        <v>8</v>
      </c>
      <c r="B10" s="1" t="s">
        <v>10</v>
      </c>
      <c r="C10" s="1">
        <v>111</v>
      </c>
    </row>
    <row r="11" spans="1:7">
      <c r="A11" s="1">
        <v>9</v>
      </c>
      <c r="B11" s="1" t="s">
        <v>11</v>
      </c>
      <c r="C11" s="1">
        <v>47</v>
      </c>
    </row>
    <row r="12" spans="1:7">
      <c r="A12" s="1">
        <v>10</v>
      </c>
      <c r="B12" s="1" t="s">
        <v>12</v>
      </c>
      <c r="C12" s="1">
        <v>78</v>
      </c>
    </row>
    <row r="13" spans="1:7">
      <c r="A13" s="1">
        <v>11</v>
      </c>
      <c r="B13" s="1" t="s">
        <v>13</v>
      </c>
      <c r="C13" s="1">
        <v>113</v>
      </c>
    </row>
    <row r="14" spans="1:7">
      <c r="A14" s="1">
        <v>12</v>
      </c>
      <c r="B14" s="1" t="s">
        <v>14</v>
      </c>
      <c r="C14" s="1">
        <v>340</v>
      </c>
    </row>
    <row r="15" spans="1:7">
      <c r="A15" s="1">
        <v>13</v>
      </c>
      <c r="B15" s="1" t="s">
        <v>15</v>
      </c>
      <c r="C15" s="1">
        <v>62</v>
      </c>
    </row>
    <row r="16" spans="1:7">
      <c r="A16" s="1">
        <v>14</v>
      </c>
      <c r="B16" s="1" t="s">
        <v>16</v>
      </c>
      <c r="C16" s="1">
        <v>64</v>
      </c>
    </row>
    <row r="17" spans="1:3">
      <c r="A17" s="45" t="s">
        <v>21</v>
      </c>
      <c r="B17" s="46"/>
      <c r="C17" s="47"/>
    </row>
    <row r="18" spans="1:3">
      <c r="A18" s="48"/>
      <c r="B18" s="49"/>
      <c r="C18" s="50"/>
    </row>
  </sheetData>
  <mergeCells count="3">
    <mergeCell ref="A1:B1"/>
    <mergeCell ref="C1:C2"/>
    <mergeCell ref="A17:C18"/>
  </mergeCells>
  <phoneticPr fontId="1" type="noConversion"/>
  <conditionalFormatting sqref="C3:C1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H16"/>
  <sheetViews>
    <sheetView workbookViewId="0">
      <selection activeCell="A5" sqref="A5:XFD5"/>
    </sheetView>
  </sheetViews>
  <sheetFormatPr baseColWidth="10" defaultColWidth="8.83203125" defaultRowHeight="15"/>
  <cols>
    <col min="3" max="3" width="15.33203125" bestFit="1" customWidth="1"/>
    <col min="4" max="33" width="8.83203125" customWidth="1"/>
  </cols>
  <sheetData>
    <row r="1" spans="1:34" ht="27">
      <c r="A1" s="57" t="s">
        <v>17</v>
      </c>
      <c r="B1" s="57"/>
      <c r="C1" s="43" t="s">
        <v>35</v>
      </c>
      <c r="D1" s="56">
        <v>45292</v>
      </c>
      <c r="E1" s="56">
        <v>45293</v>
      </c>
      <c r="F1" s="56">
        <v>45294</v>
      </c>
      <c r="G1" s="56">
        <v>45295</v>
      </c>
      <c r="H1" s="56">
        <v>45296</v>
      </c>
      <c r="I1" s="56">
        <v>45297</v>
      </c>
      <c r="J1" s="56">
        <v>45298</v>
      </c>
      <c r="K1" s="56">
        <v>45299</v>
      </c>
      <c r="L1" s="56">
        <v>45300</v>
      </c>
      <c r="M1" s="56">
        <v>45301</v>
      </c>
      <c r="N1" s="56">
        <v>45302</v>
      </c>
      <c r="O1" s="56">
        <v>45303</v>
      </c>
      <c r="P1" s="56">
        <v>45304</v>
      </c>
      <c r="Q1" s="56">
        <v>45305</v>
      </c>
      <c r="R1" s="56">
        <v>45306</v>
      </c>
      <c r="S1" s="56">
        <v>45307</v>
      </c>
      <c r="T1" s="56">
        <v>45308</v>
      </c>
      <c r="U1" s="56">
        <v>45309</v>
      </c>
      <c r="V1" s="56">
        <v>45310</v>
      </c>
      <c r="W1" s="56">
        <v>45311</v>
      </c>
      <c r="X1" s="56">
        <v>45312</v>
      </c>
      <c r="Y1" s="56">
        <v>45313</v>
      </c>
      <c r="Z1" s="56">
        <v>45314</v>
      </c>
      <c r="AA1" s="56">
        <v>45315</v>
      </c>
      <c r="AB1" s="56">
        <v>45316</v>
      </c>
      <c r="AC1" s="56">
        <v>45317</v>
      </c>
      <c r="AD1" s="56">
        <v>45318</v>
      </c>
      <c r="AE1" s="56">
        <v>45319</v>
      </c>
      <c r="AF1" s="56">
        <v>45320</v>
      </c>
      <c r="AG1" s="56">
        <v>45321</v>
      </c>
      <c r="AH1" s="56">
        <v>45322</v>
      </c>
    </row>
    <row r="2" spans="1:34">
      <c r="A2" s="1" t="s">
        <v>1</v>
      </c>
      <c r="B2" s="1" t="s">
        <v>2</v>
      </c>
      <c r="C2" s="58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6" si="0">SUM(D4:AH4)</f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0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20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/>
      <c r="J5" s="2"/>
      <c r="K5" s="1">
        <v>6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8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0</v>
      </c>
      <c r="AA5" s="1">
        <v>0</v>
      </c>
      <c r="AB5" s="1">
        <v>6</v>
      </c>
      <c r="AC5" s="1">
        <v>0</v>
      </c>
      <c r="AD5" s="2"/>
      <c r="AE5" s="2"/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16</v>
      </c>
      <c r="D6" s="1">
        <v>0</v>
      </c>
      <c r="E6" s="1">
        <v>16</v>
      </c>
      <c r="F6" s="1">
        <v>0</v>
      </c>
      <c r="G6" s="1">
        <v>0</v>
      </c>
      <c r="H6" s="1">
        <v>0</v>
      </c>
      <c r="I6" s="2"/>
      <c r="J6" s="2"/>
      <c r="K6" s="1">
        <v>0</v>
      </c>
      <c r="L6" s="1">
        <v>0</v>
      </c>
      <c r="M6" s="1">
        <v>0</v>
      </c>
      <c r="N6" s="1">
        <v>0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0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2"/>
      <c r="AE6" s="2"/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16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/>
      <c r="J7" s="2"/>
      <c r="K7" s="1">
        <v>0</v>
      </c>
      <c r="L7" s="1">
        <v>0</v>
      </c>
      <c r="M7" s="1">
        <v>0</v>
      </c>
      <c r="N7" s="1">
        <v>16</v>
      </c>
      <c r="O7" s="1">
        <v>0</v>
      </c>
      <c r="P7" s="2"/>
      <c r="Q7" s="2"/>
      <c r="R7" s="1">
        <v>0</v>
      </c>
      <c r="S7" s="1">
        <v>0</v>
      </c>
      <c r="T7" s="1">
        <v>0</v>
      </c>
      <c r="U7" s="1">
        <v>0</v>
      </c>
      <c r="V7" s="1">
        <v>0</v>
      </c>
      <c r="W7" s="2"/>
      <c r="X7" s="2"/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"/>
      <c r="AE7" s="2"/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16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/>
      <c r="J8" s="2"/>
      <c r="K8" s="1">
        <v>0</v>
      </c>
      <c r="L8" s="1">
        <v>0</v>
      </c>
      <c r="M8" s="1">
        <v>0</v>
      </c>
      <c r="N8" s="1">
        <v>0</v>
      </c>
      <c r="O8" s="1">
        <v>0</v>
      </c>
      <c r="P8" s="2"/>
      <c r="Q8" s="2"/>
      <c r="R8" s="1">
        <v>0</v>
      </c>
      <c r="S8" s="1">
        <v>0</v>
      </c>
      <c r="T8" s="1">
        <v>0</v>
      </c>
      <c r="U8" s="1">
        <v>0</v>
      </c>
      <c r="V8" s="1">
        <v>0</v>
      </c>
      <c r="W8" s="2"/>
      <c r="X8" s="2"/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2"/>
      <c r="AE8" s="2"/>
      <c r="AF8" s="1">
        <v>0</v>
      </c>
      <c r="AG8" s="1">
        <v>16</v>
      </c>
      <c r="AH8" s="1">
        <v>0</v>
      </c>
    </row>
    <row r="9" spans="1:34">
      <c r="A9" s="1">
        <v>7</v>
      </c>
      <c r="B9" s="1" t="s">
        <v>9</v>
      </c>
      <c r="C9" s="1">
        <f t="shared" si="0"/>
        <v>40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/>
      <c r="J9" s="2"/>
      <c r="K9" s="1">
        <v>0</v>
      </c>
      <c r="L9" s="1">
        <v>0</v>
      </c>
      <c r="M9" s="1">
        <v>0</v>
      </c>
      <c r="N9" s="1">
        <v>0</v>
      </c>
      <c r="O9" s="1">
        <v>0</v>
      </c>
      <c r="P9" s="2"/>
      <c r="Q9" s="2"/>
      <c r="R9" s="1">
        <v>0</v>
      </c>
      <c r="S9" s="1">
        <v>0</v>
      </c>
      <c r="T9" s="1">
        <v>0</v>
      </c>
      <c r="U9" s="1">
        <v>0</v>
      </c>
      <c r="V9" s="1">
        <v>0</v>
      </c>
      <c r="W9" s="2"/>
      <c r="X9" s="2"/>
      <c r="Y9" s="1">
        <v>0</v>
      </c>
      <c r="Z9" s="1">
        <v>0</v>
      </c>
      <c r="AA9" s="1">
        <v>16</v>
      </c>
      <c r="AB9" s="1">
        <v>8</v>
      </c>
      <c r="AC9" s="1">
        <v>0</v>
      </c>
      <c r="AD9" s="2"/>
      <c r="AE9" s="2"/>
      <c r="AF9" s="1">
        <v>16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/>
      <c r="J11" s="2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/>
      <c r="X11" s="2"/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2"/>
      <c r="AE11" s="2"/>
      <c r="AF11" s="1">
        <v>0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16</v>
      </c>
      <c r="D12" s="1">
        <v>0</v>
      </c>
      <c r="E12" s="1">
        <v>16</v>
      </c>
      <c r="F12" s="1">
        <v>0</v>
      </c>
      <c r="G12" s="1">
        <v>0</v>
      </c>
      <c r="H12" s="1">
        <v>0</v>
      </c>
      <c r="I12" s="2"/>
      <c r="J12" s="2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/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/>
      <c r="J13" s="2"/>
      <c r="K13" s="1">
        <v>0</v>
      </c>
      <c r="L13" s="1">
        <v>8</v>
      </c>
      <c r="M13" s="1">
        <v>0</v>
      </c>
      <c r="N13" s="1">
        <v>0</v>
      </c>
      <c r="O13" s="1">
        <v>0</v>
      </c>
      <c r="P13" s="2"/>
      <c r="Q13" s="2"/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2"/>
      <c r="X13" s="2"/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2"/>
      <c r="AE13" s="2"/>
      <c r="AF13" s="1">
        <v>0</v>
      </c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/>
      <c r="J14" s="2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/>
      <c r="Q14" s="2"/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2"/>
      <c r="X14" s="2"/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2"/>
      <c r="AE14" s="2"/>
      <c r="AF14" s="1">
        <v>0</v>
      </c>
      <c r="AG14" s="1">
        <v>0</v>
      </c>
      <c r="AH14" s="1">
        <v>0</v>
      </c>
    </row>
    <row r="15" spans="1:34">
      <c r="A15" s="1">
        <v>13</v>
      </c>
      <c r="B15" s="1" t="s">
        <v>15</v>
      </c>
      <c r="C15" s="1">
        <f t="shared" si="0"/>
        <v>8</v>
      </c>
      <c r="D15" s="1">
        <v>0</v>
      </c>
      <c r="E15" s="1">
        <v>8</v>
      </c>
      <c r="F15" s="1">
        <v>0</v>
      </c>
      <c r="G15" s="1">
        <v>0</v>
      </c>
      <c r="H15" s="1">
        <v>0</v>
      </c>
      <c r="I15" s="2"/>
      <c r="J15" s="2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/>
      <c r="Q15" s="2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2"/>
      <c r="X15" s="2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2"/>
      <c r="AE15" s="2"/>
      <c r="AF15" s="1">
        <v>0</v>
      </c>
      <c r="AG15" s="1">
        <v>0</v>
      </c>
      <c r="AH15" s="1">
        <v>0</v>
      </c>
    </row>
    <row r="16" spans="1:34">
      <c r="A16" s="1">
        <v>14</v>
      </c>
      <c r="B16" s="1" t="s">
        <v>16</v>
      </c>
      <c r="C16" s="1">
        <f t="shared" si="0"/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/>
      <c r="J16" s="2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/>
      <c r="Q16" s="2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2"/>
      <c r="X16" s="2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2"/>
      <c r="AE16" s="2"/>
      <c r="AF16" s="1">
        <v>0</v>
      </c>
      <c r="AG16" s="1">
        <v>0</v>
      </c>
      <c r="AH16" s="1">
        <v>0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9"/>
  <sheetViews>
    <sheetView workbookViewId="0">
      <selection activeCell="AG3" sqref="AG3:AG16"/>
    </sheetView>
  </sheetViews>
  <sheetFormatPr baseColWidth="10" defaultColWidth="8.83203125" defaultRowHeight="15"/>
  <cols>
    <col min="3" max="22" width="8.83203125" customWidth="1"/>
    <col min="23" max="23" width="3.83203125" customWidth="1"/>
    <col min="24" max="32" width="8.83203125" customWidth="1"/>
  </cols>
  <sheetData>
    <row r="1" spans="1:33" ht="27">
      <c r="A1" s="55" t="s">
        <v>0</v>
      </c>
      <c r="B1" s="55"/>
      <c r="C1" s="53">
        <v>45292</v>
      </c>
      <c r="D1" s="53">
        <v>45293</v>
      </c>
      <c r="E1" s="53">
        <v>45294</v>
      </c>
      <c r="F1" s="53">
        <v>45295</v>
      </c>
      <c r="G1" s="53">
        <v>45296</v>
      </c>
      <c r="H1" s="53">
        <v>45297</v>
      </c>
      <c r="I1" s="53">
        <v>45298</v>
      </c>
      <c r="J1" s="53">
        <v>45299</v>
      </c>
      <c r="K1" s="53">
        <v>45300</v>
      </c>
      <c r="L1" s="53">
        <v>45301</v>
      </c>
      <c r="M1" s="53">
        <v>45302</v>
      </c>
      <c r="N1" s="53">
        <v>45303</v>
      </c>
      <c r="O1" s="53">
        <v>45304</v>
      </c>
      <c r="P1" s="53">
        <v>45305</v>
      </c>
      <c r="Q1" s="53">
        <v>45306</v>
      </c>
      <c r="R1" s="53">
        <v>45307</v>
      </c>
      <c r="S1" s="53">
        <v>45308</v>
      </c>
      <c r="T1" s="53">
        <v>45309</v>
      </c>
      <c r="U1" s="53">
        <v>45310</v>
      </c>
      <c r="V1" s="53">
        <v>45311</v>
      </c>
      <c r="W1" s="53">
        <v>45312</v>
      </c>
      <c r="X1" s="53">
        <v>45313</v>
      </c>
      <c r="Y1" s="53">
        <v>45314</v>
      </c>
      <c r="Z1" s="53">
        <v>45315</v>
      </c>
      <c r="AA1" s="53">
        <v>45316</v>
      </c>
      <c r="AB1" s="53">
        <v>45317</v>
      </c>
      <c r="AC1" s="53">
        <v>45318</v>
      </c>
      <c r="AD1" s="53">
        <v>45319</v>
      </c>
      <c r="AE1" s="53">
        <v>45320</v>
      </c>
      <c r="AF1" s="53">
        <v>45321</v>
      </c>
      <c r="AG1" s="53">
        <v>45322</v>
      </c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2"/>
      <c r="D3" s="3" t="s">
        <v>29</v>
      </c>
      <c r="E3" s="1" t="s">
        <v>37</v>
      </c>
      <c r="F3" s="1" t="s">
        <v>26</v>
      </c>
      <c r="G3" s="1" t="s">
        <v>26</v>
      </c>
      <c r="H3" s="2"/>
      <c r="I3" s="2"/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2"/>
      <c r="P3" s="2"/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2"/>
      <c r="W3" s="2"/>
      <c r="X3" s="1" t="s">
        <v>26</v>
      </c>
      <c r="Y3" s="1" t="s">
        <v>26</v>
      </c>
      <c r="Z3" s="1" t="s">
        <v>26</v>
      </c>
      <c r="AA3" s="1" t="s">
        <v>26</v>
      </c>
      <c r="AB3" s="1" t="s">
        <v>26</v>
      </c>
      <c r="AC3" s="2"/>
      <c r="AD3" s="2"/>
      <c r="AE3" s="1" t="s">
        <v>26</v>
      </c>
      <c r="AF3" s="1" t="s">
        <v>26</v>
      </c>
      <c r="AG3" s="1" t="s">
        <v>26</v>
      </c>
    </row>
    <row r="4" spans="1:33">
      <c r="A4" s="1">
        <v>2</v>
      </c>
      <c r="B4" s="1" t="s">
        <v>4</v>
      </c>
      <c r="C4" s="2"/>
      <c r="D4" s="3" t="s">
        <v>29</v>
      </c>
      <c r="E4" s="1" t="s">
        <v>37</v>
      </c>
      <c r="F4" s="1" t="s">
        <v>26</v>
      </c>
      <c r="G4" s="1" t="s">
        <v>26</v>
      </c>
      <c r="H4" s="2"/>
      <c r="I4" s="2"/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2"/>
      <c r="P4" s="2"/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2"/>
      <c r="W4" s="2"/>
      <c r="X4" s="1" t="s">
        <v>26</v>
      </c>
      <c r="Y4" s="1" t="s">
        <v>26</v>
      </c>
      <c r="Z4" s="1" t="s">
        <v>26</v>
      </c>
      <c r="AA4" s="1" t="s">
        <v>26</v>
      </c>
      <c r="AB4" s="1" t="s">
        <v>26</v>
      </c>
      <c r="AC4" s="2"/>
      <c r="AD4" s="2"/>
      <c r="AE4" s="1" t="s">
        <v>26</v>
      </c>
      <c r="AF4" s="1" t="s">
        <v>26</v>
      </c>
      <c r="AG4" s="1" t="s">
        <v>26</v>
      </c>
    </row>
    <row r="5" spans="1:33">
      <c r="A5" s="1">
        <v>3</v>
      </c>
      <c r="B5" s="1" t="s">
        <v>5</v>
      </c>
      <c r="C5" s="2"/>
      <c r="D5" s="3" t="s">
        <v>29</v>
      </c>
      <c r="E5" s="3" t="s">
        <v>27</v>
      </c>
      <c r="F5" s="3" t="s">
        <v>27</v>
      </c>
      <c r="G5" s="3" t="s">
        <v>27</v>
      </c>
      <c r="H5" s="2"/>
      <c r="I5" s="2"/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2"/>
      <c r="P5" s="2"/>
      <c r="Q5" s="3" t="s">
        <v>27</v>
      </c>
      <c r="R5" s="3" t="s">
        <v>23</v>
      </c>
      <c r="S5" s="3" t="s">
        <v>27</v>
      </c>
      <c r="T5" s="3" t="s">
        <v>27</v>
      </c>
      <c r="U5" s="3" t="s">
        <v>27</v>
      </c>
      <c r="V5" s="2"/>
      <c r="W5" s="2"/>
      <c r="X5" s="3" t="s">
        <v>27</v>
      </c>
      <c r="Y5" s="3" t="s">
        <v>27</v>
      </c>
      <c r="Z5" s="3" t="s">
        <v>27</v>
      </c>
      <c r="AA5" s="3" t="s">
        <v>27</v>
      </c>
      <c r="AB5" s="3" t="s">
        <v>27</v>
      </c>
      <c r="AC5" s="2"/>
      <c r="AD5" s="2"/>
      <c r="AE5" s="3" t="s">
        <v>27</v>
      </c>
      <c r="AF5" s="3" t="s">
        <v>50</v>
      </c>
      <c r="AG5" s="3" t="s">
        <v>27</v>
      </c>
    </row>
    <row r="6" spans="1:33">
      <c r="A6" s="1">
        <v>4</v>
      </c>
      <c r="B6" s="1" t="s">
        <v>6</v>
      </c>
      <c r="C6" s="2"/>
      <c r="D6" s="6" t="s">
        <v>23</v>
      </c>
      <c r="E6" s="1" t="s">
        <v>37</v>
      </c>
      <c r="F6" s="1" t="s">
        <v>26</v>
      </c>
      <c r="G6" s="1" t="s">
        <v>26</v>
      </c>
      <c r="H6" s="2"/>
      <c r="I6" s="2"/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2"/>
      <c r="P6" s="2"/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2"/>
      <c r="W6" s="2"/>
      <c r="X6" s="1" t="s">
        <v>26</v>
      </c>
      <c r="Y6" s="1" t="s">
        <v>26</v>
      </c>
      <c r="Z6" s="1" t="s">
        <v>26</v>
      </c>
      <c r="AA6" s="1" t="s">
        <v>26</v>
      </c>
      <c r="AB6" s="1" t="s">
        <v>26</v>
      </c>
      <c r="AC6" s="2"/>
      <c r="AD6" s="2"/>
      <c r="AE6" s="1" t="s">
        <v>26</v>
      </c>
      <c r="AF6" s="1" t="s">
        <v>26</v>
      </c>
      <c r="AG6" s="1" t="s">
        <v>26</v>
      </c>
    </row>
    <row r="7" spans="1:33">
      <c r="A7" s="1">
        <v>5</v>
      </c>
      <c r="B7" s="1" t="s">
        <v>7</v>
      </c>
      <c r="C7" s="2"/>
      <c r="D7" s="3" t="s">
        <v>26</v>
      </c>
      <c r="E7" s="1" t="s">
        <v>37</v>
      </c>
      <c r="F7" s="1" t="s">
        <v>26</v>
      </c>
      <c r="G7" s="1" t="s">
        <v>26</v>
      </c>
      <c r="H7" s="2"/>
      <c r="I7" s="2"/>
      <c r="J7" s="3" t="s">
        <v>27</v>
      </c>
      <c r="K7" s="3" t="s">
        <v>27</v>
      </c>
      <c r="L7" s="3" t="s">
        <v>27</v>
      </c>
      <c r="M7" s="3" t="s">
        <v>45</v>
      </c>
      <c r="N7" s="1" t="s">
        <v>44</v>
      </c>
      <c r="O7" s="2"/>
      <c r="P7" s="2"/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2"/>
      <c r="W7" s="2"/>
      <c r="X7" s="1" t="s">
        <v>26</v>
      </c>
      <c r="Y7" s="1" t="s">
        <v>26</v>
      </c>
      <c r="Z7" s="1" t="s">
        <v>26</v>
      </c>
      <c r="AA7" s="1" t="s">
        <v>26</v>
      </c>
      <c r="AB7" s="1" t="s">
        <v>26</v>
      </c>
      <c r="AC7" s="2"/>
      <c r="AD7" s="2"/>
      <c r="AE7" s="1" t="s">
        <v>26</v>
      </c>
      <c r="AF7" s="1" t="s">
        <v>26</v>
      </c>
      <c r="AG7" s="1" t="s">
        <v>26</v>
      </c>
    </row>
    <row r="8" spans="1:33">
      <c r="A8" s="1">
        <v>6</v>
      </c>
      <c r="B8" s="1" t="s">
        <v>8</v>
      </c>
      <c r="C8" s="2"/>
      <c r="D8" s="3" t="s">
        <v>27</v>
      </c>
      <c r="E8" s="3" t="s">
        <v>27</v>
      </c>
      <c r="F8" s="3" t="s">
        <v>27</v>
      </c>
      <c r="G8" s="3" t="s">
        <v>27</v>
      </c>
      <c r="H8" s="2"/>
      <c r="I8" s="2"/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2"/>
      <c r="P8" s="2"/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2"/>
      <c r="W8" s="2"/>
      <c r="X8" s="1" t="s">
        <v>26</v>
      </c>
      <c r="Y8" s="1" t="s">
        <v>26</v>
      </c>
      <c r="Z8" s="1" t="s">
        <v>26</v>
      </c>
      <c r="AA8" s="1" t="s">
        <v>26</v>
      </c>
      <c r="AB8" s="1" t="s">
        <v>26</v>
      </c>
      <c r="AC8" s="2"/>
      <c r="AD8" s="2"/>
      <c r="AE8" s="1" t="s">
        <v>26</v>
      </c>
      <c r="AF8" s="1" t="s">
        <v>53</v>
      </c>
      <c r="AG8" s="3" t="s">
        <v>27</v>
      </c>
    </row>
    <row r="9" spans="1:33">
      <c r="A9" s="1">
        <v>7</v>
      </c>
      <c r="B9" s="1" t="s">
        <v>9</v>
      </c>
      <c r="C9" s="2"/>
      <c r="D9" s="3" t="s">
        <v>27</v>
      </c>
      <c r="E9" s="3" t="s">
        <v>27</v>
      </c>
      <c r="F9" s="3" t="s">
        <v>27</v>
      </c>
      <c r="G9" s="3" t="s">
        <v>27</v>
      </c>
      <c r="H9" s="2"/>
      <c r="I9" s="2"/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2"/>
      <c r="P9" s="2"/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2"/>
      <c r="W9" s="2"/>
      <c r="X9" s="3" t="s">
        <v>27</v>
      </c>
      <c r="Y9" s="3" t="s">
        <v>27</v>
      </c>
      <c r="Z9" s="3" t="s">
        <v>46</v>
      </c>
      <c r="AA9" s="3" t="s">
        <v>47</v>
      </c>
      <c r="AB9" s="3" t="s">
        <v>47</v>
      </c>
      <c r="AC9" s="2"/>
      <c r="AD9" s="2"/>
      <c r="AE9" s="3" t="s">
        <v>52</v>
      </c>
      <c r="AF9" s="3" t="s">
        <v>51</v>
      </c>
      <c r="AG9" s="3" t="s">
        <v>27</v>
      </c>
    </row>
    <row r="10" spans="1:33">
      <c r="A10" s="1">
        <v>8</v>
      </c>
      <c r="B10" s="1" t="s">
        <v>10</v>
      </c>
      <c r="C10" s="2"/>
      <c r="D10" s="3" t="s">
        <v>27</v>
      </c>
      <c r="E10" s="1" t="s">
        <v>38</v>
      </c>
      <c r="F10" s="1" t="s">
        <v>26</v>
      </c>
      <c r="G10" s="1" t="s">
        <v>26</v>
      </c>
      <c r="H10" s="2"/>
      <c r="I10" s="2"/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2"/>
      <c r="P10" s="2"/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2"/>
      <c r="W10" s="2"/>
      <c r="X10" s="1" t="s">
        <v>26</v>
      </c>
      <c r="Y10" s="1" t="s">
        <v>26</v>
      </c>
      <c r="Z10" s="1" t="s">
        <v>26</v>
      </c>
      <c r="AA10" s="1" t="s">
        <v>26</v>
      </c>
      <c r="AB10" s="1" t="s">
        <v>26</v>
      </c>
      <c r="AC10" s="2"/>
      <c r="AD10" s="2"/>
      <c r="AE10" s="1" t="s">
        <v>26</v>
      </c>
      <c r="AF10" s="1" t="s">
        <v>26</v>
      </c>
      <c r="AG10" s="1" t="s">
        <v>26</v>
      </c>
    </row>
    <row r="11" spans="1:33">
      <c r="A11" s="1">
        <v>9</v>
      </c>
      <c r="B11" s="1" t="s">
        <v>11</v>
      </c>
      <c r="C11" s="2"/>
      <c r="D11" s="3" t="s">
        <v>27</v>
      </c>
      <c r="E11" s="1" t="s">
        <v>38</v>
      </c>
      <c r="F11" s="1" t="s">
        <v>26</v>
      </c>
      <c r="G11" s="1" t="s">
        <v>26</v>
      </c>
      <c r="H11" s="2"/>
      <c r="I11" s="2"/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2"/>
      <c r="P11" s="2"/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2"/>
      <c r="W11" s="2"/>
      <c r="X11" s="1" t="s">
        <v>26</v>
      </c>
      <c r="Y11" s="1" t="s">
        <v>26</v>
      </c>
      <c r="Z11" s="1" t="s">
        <v>26</v>
      </c>
      <c r="AA11" s="1" t="s">
        <v>26</v>
      </c>
      <c r="AB11" s="1" t="s">
        <v>26</v>
      </c>
      <c r="AC11" s="2"/>
      <c r="AD11" s="2"/>
      <c r="AE11" s="1" t="s">
        <v>26</v>
      </c>
      <c r="AF11" s="1" t="s">
        <v>26</v>
      </c>
      <c r="AG11" s="1" t="s">
        <v>26</v>
      </c>
    </row>
    <row r="12" spans="1:33">
      <c r="A12" s="1">
        <v>10</v>
      </c>
      <c r="B12" s="1" t="s">
        <v>12</v>
      </c>
      <c r="C12" s="2"/>
      <c r="D12" s="6" t="s">
        <v>22</v>
      </c>
      <c r="E12" s="1" t="s">
        <v>38</v>
      </c>
      <c r="F12" s="1" t="s">
        <v>26</v>
      </c>
      <c r="G12" s="1" t="s">
        <v>26</v>
      </c>
      <c r="H12" s="2"/>
      <c r="I12" s="2"/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2"/>
      <c r="P12" s="2"/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2"/>
      <c r="W12" s="2"/>
      <c r="X12" s="1" t="s">
        <v>26</v>
      </c>
      <c r="Y12" s="1" t="s">
        <v>26</v>
      </c>
      <c r="Z12" s="1" t="s">
        <v>26</v>
      </c>
      <c r="AA12" s="1" t="s">
        <v>26</v>
      </c>
      <c r="AB12" s="1" t="s">
        <v>26</v>
      </c>
      <c r="AC12" s="2"/>
      <c r="AD12" s="2"/>
      <c r="AE12" s="1" t="s">
        <v>26</v>
      </c>
      <c r="AF12" s="1" t="s">
        <v>26</v>
      </c>
      <c r="AG12" s="1" t="s">
        <v>26</v>
      </c>
    </row>
    <row r="13" spans="1:33">
      <c r="A13" s="1">
        <v>11</v>
      </c>
      <c r="B13" s="1" t="s">
        <v>13</v>
      </c>
      <c r="C13" s="2"/>
      <c r="D13" s="3" t="s">
        <v>27</v>
      </c>
      <c r="E13" s="3" t="s">
        <v>27</v>
      </c>
      <c r="F13" s="3" t="s">
        <v>27</v>
      </c>
      <c r="G13" s="3" t="s">
        <v>27</v>
      </c>
      <c r="H13" s="2"/>
      <c r="I13" s="2"/>
      <c r="J13" s="3" t="s">
        <v>27</v>
      </c>
      <c r="K13" s="3" t="s">
        <v>27</v>
      </c>
      <c r="L13" s="1" t="s">
        <v>43</v>
      </c>
      <c r="M13" s="1" t="s">
        <v>26</v>
      </c>
      <c r="N13" s="1" t="s">
        <v>26</v>
      </c>
      <c r="O13" s="2"/>
      <c r="P13" s="2"/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2"/>
      <c r="W13" s="2"/>
      <c r="X13" s="1" t="s">
        <v>26</v>
      </c>
      <c r="Y13" s="1" t="s">
        <v>26</v>
      </c>
      <c r="Z13" s="1" t="s">
        <v>26</v>
      </c>
      <c r="AA13" s="1" t="s">
        <v>26</v>
      </c>
      <c r="AB13" s="1" t="s">
        <v>26</v>
      </c>
      <c r="AC13" s="2"/>
      <c r="AD13" s="2"/>
      <c r="AE13" s="1" t="s">
        <v>26</v>
      </c>
      <c r="AF13" s="1" t="s">
        <v>26</v>
      </c>
      <c r="AG13" s="1" t="s">
        <v>26</v>
      </c>
    </row>
    <row r="14" spans="1:33">
      <c r="A14" s="1">
        <v>12</v>
      </c>
      <c r="B14" s="1" t="s">
        <v>14</v>
      </c>
      <c r="C14" s="2"/>
      <c r="D14" s="3" t="s">
        <v>30</v>
      </c>
      <c r="E14" s="1" t="s">
        <v>39</v>
      </c>
      <c r="F14" s="1" t="s">
        <v>26</v>
      </c>
      <c r="G14" s="1" t="s">
        <v>26</v>
      </c>
      <c r="H14" s="2"/>
      <c r="I14" s="2"/>
      <c r="J14" s="1" t="s">
        <v>26</v>
      </c>
      <c r="K14" s="1" t="s">
        <v>42</v>
      </c>
      <c r="L14" s="1" t="s">
        <v>26</v>
      </c>
      <c r="M14" s="1" t="s">
        <v>26</v>
      </c>
      <c r="N14" s="1" t="s">
        <v>26</v>
      </c>
      <c r="O14" s="2"/>
      <c r="P14" s="2"/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2"/>
      <c r="W14" s="2"/>
      <c r="X14" s="1" t="s">
        <v>26</v>
      </c>
      <c r="Y14" s="1" t="s">
        <v>26</v>
      </c>
      <c r="Z14" s="1" t="s">
        <v>26</v>
      </c>
      <c r="AA14" s="1" t="s">
        <v>26</v>
      </c>
      <c r="AB14" s="1" t="s">
        <v>26</v>
      </c>
      <c r="AC14" s="2"/>
      <c r="AD14" s="2"/>
      <c r="AE14" s="1" t="s">
        <v>26</v>
      </c>
      <c r="AF14" s="1" t="s">
        <v>26</v>
      </c>
      <c r="AG14" s="1" t="s">
        <v>26</v>
      </c>
    </row>
    <row r="15" spans="1:33">
      <c r="A15" s="1">
        <v>13</v>
      </c>
      <c r="B15" s="1" t="s">
        <v>15</v>
      </c>
      <c r="C15" s="2"/>
      <c r="D15" s="3" t="s">
        <v>28</v>
      </c>
      <c r="E15" s="1" t="s">
        <v>39</v>
      </c>
      <c r="F15" s="1" t="s">
        <v>26</v>
      </c>
      <c r="G15" s="1" t="s">
        <v>26</v>
      </c>
      <c r="H15" s="2"/>
      <c r="I15" s="2"/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2"/>
      <c r="P15" s="2"/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2"/>
      <c r="W15" s="2"/>
      <c r="X15" s="1" t="s">
        <v>26</v>
      </c>
      <c r="Y15" s="1" t="s">
        <v>26</v>
      </c>
      <c r="Z15" s="1" t="s">
        <v>26</v>
      </c>
      <c r="AA15" s="1" t="s">
        <v>26</v>
      </c>
      <c r="AB15" s="1" t="s">
        <v>26</v>
      </c>
      <c r="AC15" s="2"/>
      <c r="AD15" s="2"/>
      <c r="AE15" s="1" t="s">
        <v>26</v>
      </c>
      <c r="AF15" s="1" t="s">
        <v>26</v>
      </c>
      <c r="AG15" s="1" t="s">
        <v>26</v>
      </c>
    </row>
    <row r="16" spans="1:33">
      <c r="A16" s="1">
        <v>14</v>
      </c>
      <c r="B16" s="1" t="s">
        <v>16</v>
      </c>
      <c r="C16" s="2"/>
      <c r="D16" s="3" t="s">
        <v>31</v>
      </c>
      <c r="E16" s="1" t="s">
        <v>39</v>
      </c>
      <c r="F16" s="1" t="s">
        <v>26</v>
      </c>
      <c r="G16" s="1" t="s">
        <v>26</v>
      </c>
      <c r="H16" s="2"/>
      <c r="I16" s="2"/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2"/>
      <c r="P16" s="2"/>
      <c r="Q16" s="1" t="s">
        <v>26</v>
      </c>
      <c r="R16" s="1" t="s">
        <v>26</v>
      </c>
      <c r="S16" s="1" t="s">
        <v>26</v>
      </c>
      <c r="T16" s="1" t="s">
        <v>26</v>
      </c>
      <c r="U16" s="1" t="s">
        <v>26</v>
      </c>
      <c r="V16" s="2"/>
      <c r="W16" s="2"/>
      <c r="X16" s="1" t="s">
        <v>26</v>
      </c>
      <c r="Y16" s="1" t="s">
        <v>26</v>
      </c>
      <c r="Z16" s="1" t="s">
        <v>26</v>
      </c>
      <c r="AA16" s="1" t="s">
        <v>26</v>
      </c>
      <c r="AB16" s="1" t="s">
        <v>26</v>
      </c>
      <c r="AC16" s="2"/>
      <c r="AD16" s="2"/>
      <c r="AE16" s="1" t="s">
        <v>26</v>
      </c>
      <c r="AF16" s="1" t="s">
        <v>26</v>
      </c>
      <c r="AG16" s="1" t="s">
        <v>26</v>
      </c>
    </row>
    <row r="17" spans="1:2">
      <c r="A17" s="5" t="s">
        <v>27</v>
      </c>
      <c r="B17" t="s">
        <v>24</v>
      </c>
    </row>
    <row r="18" spans="1:2">
      <c r="A18" s="4" t="s">
        <v>49</v>
      </c>
      <c r="B18" t="s">
        <v>48</v>
      </c>
    </row>
    <row r="19" spans="1:2">
      <c r="A19" s="8" t="s">
        <v>41</v>
      </c>
      <c r="B19" s="7" t="s">
        <v>40</v>
      </c>
    </row>
  </sheetData>
  <mergeCells count="32">
    <mergeCell ref="AF1:AF2"/>
    <mergeCell ref="AG1:AG2"/>
    <mergeCell ref="P1:P2"/>
    <mergeCell ref="O1:O2"/>
    <mergeCell ref="N1:N2"/>
    <mergeCell ref="AA1:AA2"/>
    <mergeCell ref="AB1:AB2"/>
    <mergeCell ref="AC1:AC2"/>
    <mergeCell ref="AD1:AD2"/>
    <mergeCell ref="AE1:AE2"/>
    <mergeCell ref="V1:V2"/>
    <mergeCell ref="W1:W2"/>
    <mergeCell ref="X1:X2"/>
    <mergeCell ref="Y1:Y2"/>
    <mergeCell ref="Z1:Z2"/>
    <mergeCell ref="Q1:Q2"/>
    <mergeCell ref="R1:R2"/>
    <mergeCell ref="S1:S2"/>
    <mergeCell ref="T1:T2"/>
    <mergeCell ref="U1:U2"/>
    <mergeCell ref="A1:B1"/>
    <mergeCell ref="C1:C2"/>
    <mergeCell ref="M1:M2"/>
    <mergeCell ref="L1:L2"/>
    <mergeCell ref="K1:K2"/>
    <mergeCell ref="J1:J2"/>
    <mergeCell ref="I1:I2"/>
    <mergeCell ref="H1:H2"/>
    <mergeCell ref="G1:G2"/>
    <mergeCell ref="F1:F2"/>
    <mergeCell ref="E1:E2"/>
    <mergeCell ref="D1:D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H16"/>
  <sheetViews>
    <sheetView workbookViewId="0">
      <selection activeCell="J10" sqref="J10"/>
    </sheetView>
  </sheetViews>
  <sheetFormatPr baseColWidth="10" defaultColWidth="8.83203125" defaultRowHeight="15"/>
  <cols>
    <col min="3" max="3" width="15.33203125" bestFit="1" customWidth="1"/>
    <col min="4" max="33" width="8.83203125" customWidth="1"/>
    <col min="36" max="36" width="0" hidden="1" customWidth="1"/>
  </cols>
  <sheetData>
    <row r="1" spans="1:34" ht="27">
      <c r="A1" s="59" t="s">
        <v>19</v>
      </c>
      <c r="B1" s="59"/>
      <c r="C1" s="43" t="s">
        <v>36</v>
      </c>
      <c r="D1" s="56">
        <v>45292</v>
      </c>
      <c r="E1" s="56">
        <v>45293</v>
      </c>
      <c r="F1" s="56">
        <v>45294</v>
      </c>
      <c r="G1" s="56">
        <v>45295</v>
      </c>
      <c r="H1" s="56">
        <v>45296</v>
      </c>
      <c r="I1" s="56">
        <v>45297</v>
      </c>
      <c r="J1" s="56">
        <v>45298</v>
      </c>
      <c r="K1" s="56">
        <v>45299</v>
      </c>
      <c r="L1" s="56">
        <v>45300</v>
      </c>
      <c r="M1" s="56">
        <v>45301</v>
      </c>
      <c r="N1" s="56">
        <v>45302</v>
      </c>
      <c r="O1" s="56">
        <v>45303</v>
      </c>
      <c r="P1" s="56">
        <v>45304</v>
      </c>
      <c r="Q1" s="56">
        <v>45305</v>
      </c>
      <c r="R1" s="56">
        <v>45306</v>
      </c>
      <c r="S1" s="56">
        <v>45307</v>
      </c>
      <c r="T1" s="56">
        <v>45308</v>
      </c>
      <c r="U1" s="56">
        <v>45309</v>
      </c>
      <c r="V1" s="56">
        <v>45310</v>
      </c>
      <c r="W1" s="56">
        <v>45311</v>
      </c>
      <c r="X1" s="56">
        <v>45312</v>
      </c>
      <c r="Y1" s="56">
        <v>45313</v>
      </c>
      <c r="Z1" s="56">
        <v>45314</v>
      </c>
      <c r="AA1" s="56">
        <v>45315</v>
      </c>
      <c r="AB1" s="56">
        <v>45316</v>
      </c>
      <c r="AC1" s="56">
        <v>45317</v>
      </c>
      <c r="AD1" s="56">
        <v>45318</v>
      </c>
      <c r="AE1" s="56">
        <v>45319</v>
      </c>
      <c r="AF1" s="56">
        <v>45320</v>
      </c>
      <c r="AG1" s="56">
        <v>45321</v>
      </c>
      <c r="AH1" s="56">
        <v>45322</v>
      </c>
    </row>
    <row r="2" spans="1:34">
      <c r="A2" s="1" t="s">
        <v>1</v>
      </c>
      <c r="B2" s="1" t="s">
        <v>2</v>
      </c>
      <c r="C2" s="58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6" si="0">SUM(D4:AH4)</f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0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18</v>
      </c>
      <c r="D5" s="1">
        <v>0</v>
      </c>
      <c r="E5" s="1">
        <v>12</v>
      </c>
      <c r="F5" s="1">
        <v>2</v>
      </c>
      <c r="G5" s="1">
        <v>0</v>
      </c>
      <c r="H5" s="1">
        <v>0</v>
      </c>
      <c r="I5" s="2"/>
      <c r="J5" s="2"/>
      <c r="K5" s="1">
        <v>0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2"/>
      <c r="AE5" s="2"/>
      <c r="AF5" s="1">
        <v>4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/>
      <c r="J6" s="2"/>
      <c r="K6" s="1">
        <v>0</v>
      </c>
      <c r="L6" s="1">
        <v>0</v>
      </c>
      <c r="M6" s="1">
        <v>0</v>
      </c>
      <c r="N6" s="1">
        <v>6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0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2"/>
      <c r="AE6" s="2"/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9</v>
      </c>
      <c r="D7" s="1">
        <v>0</v>
      </c>
      <c r="E7" s="1">
        <v>6</v>
      </c>
      <c r="F7" s="1">
        <v>0</v>
      </c>
      <c r="G7" s="1">
        <v>0</v>
      </c>
      <c r="H7" s="1">
        <v>0</v>
      </c>
      <c r="I7" s="2"/>
      <c r="J7" s="2"/>
      <c r="K7" s="1">
        <v>1</v>
      </c>
      <c r="L7" s="1">
        <v>1</v>
      </c>
      <c r="M7" s="1">
        <v>1</v>
      </c>
      <c r="N7" s="1">
        <v>0</v>
      </c>
      <c r="O7" s="1">
        <v>0</v>
      </c>
      <c r="P7" s="2"/>
      <c r="Q7" s="2"/>
      <c r="R7" s="1">
        <v>0</v>
      </c>
      <c r="S7" s="1">
        <v>0</v>
      </c>
      <c r="T7" s="1">
        <v>0</v>
      </c>
      <c r="U7" s="1">
        <v>0</v>
      </c>
      <c r="V7" s="1">
        <v>0</v>
      </c>
      <c r="W7" s="2"/>
      <c r="X7" s="2"/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"/>
      <c r="AE7" s="2"/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33</v>
      </c>
      <c r="D8" s="1">
        <v>0</v>
      </c>
      <c r="E8" s="1">
        <v>2</v>
      </c>
      <c r="F8" s="1">
        <v>1</v>
      </c>
      <c r="G8" s="1">
        <v>1</v>
      </c>
      <c r="H8" s="1">
        <v>1</v>
      </c>
      <c r="I8" s="2"/>
      <c r="J8" s="2"/>
      <c r="K8" s="1">
        <v>0</v>
      </c>
      <c r="L8" s="1">
        <v>4</v>
      </c>
      <c r="M8" s="1">
        <v>1</v>
      </c>
      <c r="N8" s="1">
        <v>4</v>
      </c>
      <c r="O8" s="1">
        <v>3</v>
      </c>
      <c r="P8" s="2"/>
      <c r="Q8" s="2"/>
      <c r="R8" s="1">
        <v>4</v>
      </c>
      <c r="S8" s="1">
        <v>1</v>
      </c>
      <c r="T8" s="1">
        <v>1</v>
      </c>
      <c r="U8" s="1">
        <v>1</v>
      </c>
      <c r="V8" s="1">
        <v>1</v>
      </c>
      <c r="W8" s="2"/>
      <c r="X8" s="2"/>
      <c r="Y8" s="1">
        <v>1</v>
      </c>
      <c r="Z8" s="1">
        <v>4</v>
      </c>
      <c r="AA8" s="1">
        <v>1</v>
      </c>
      <c r="AB8" s="1">
        <v>1</v>
      </c>
      <c r="AC8" s="1">
        <v>0</v>
      </c>
      <c r="AD8" s="2"/>
      <c r="AE8" s="2"/>
      <c r="AF8" s="1">
        <v>0</v>
      </c>
      <c r="AG8" s="1">
        <v>0</v>
      </c>
      <c r="AH8" s="1">
        <v>1</v>
      </c>
    </row>
    <row r="9" spans="1:34">
      <c r="A9" s="1">
        <v>7</v>
      </c>
      <c r="B9" s="1" t="s">
        <v>9</v>
      </c>
      <c r="C9" s="1">
        <f t="shared" si="0"/>
        <v>34</v>
      </c>
      <c r="D9" s="1">
        <v>0</v>
      </c>
      <c r="E9" s="1">
        <v>0</v>
      </c>
      <c r="F9" s="1">
        <v>0</v>
      </c>
      <c r="G9" s="1">
        <v>0</v>
      </c>
      <c r="H9" s="1">
        <v>2</v>
      </c>
      <c r="I9" s="2"/>
      <c r="J9" s="2"/>
      <c r="K9" s="1">
        <v>2</v>
      </c>
      <c r="L9" s="1">
        <v>6</v>
      </c>
      <c r="M9" s="1">
        <v>1</v>
      </c>
      <c r="N9" s="1">
        <v>0</v>
      </c>
      <c r="O9" s="1">
        <v>0</v>
      </c>
      <c r="P9" s="2"/>
      <c r="Q9" s="2"/>
      <c r="R9" s="1">
        <v>0</v>
      </c>
      <c r="S9" s="1">
        <v>7</v>
      </c>
      <c r="T9" s="1">
        <v>6</v>
      </c>
      <c r="U9" s="1">
        <v>0</v>
      </c>
      <c r="V9" s="1">
        <v>0</v>
      </c>
      <c r="W9" s="2"/>
      <c r="X9" s="2"/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2"/>
      <c r="AE9" s="2"/>
      <c r="AF9" s="1">
        <v>0</v>
      </c>
      <c r="AG9" s="1">
        <v>6</v>
      </c>
      <c r="AH9" s="1">
        <v>4</v>
      </c>
    </row>
    <row r="10" spans="1:34">
      <c r="A10" s="1">
        <v>8</v>
      </c>
      <c r="B10" s="1" t="s">
        <v>10</v>
      </c>
      <c r="C10" s="1">
        <f t="shared" si="0"/>
        <v>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/>
      <c r="J10" s="2"/>
      <c r="K10" s="1">
        <v>0</v>
      </c>
      <c r="L10" s="1">
        <v>0</v>
      </c>
      <c r="M10" s="1">
        <v>0</v>
      </c>
      <c r="N10" s="1">
        <v>6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/>
      <c r="J11" s="2"/>
      <c r="K11" s="1">
        <v>0</v>
      </c>
      <c r="L11" s="1">
        <v>0</v>
      </c>
      <c r="M11" s="1">
        <v>0</v>
      </c>
      <c r="N11" s="1">
        <v>6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/>
      <c r="X11" s="2"/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2"/>
      <c r="AE11" s="2"/>
      <c r="AF11" s="1">
        <v>0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/>
      <c r="J12" s="2"/>
      <c r="K12" s="1">
        <v>0</v>
      </c>
      <c r="L12" s="1">
        <v>0</v>
      </c>
      <c r="M12" s="1">
        <v>0</v>
      </c>
      <c r="N12" s="1">
        <v>6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/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25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/>
      <c r="J13" s="2"/>
      <c r="K13" s="1">
        <v>0</v>
      </c>
      <c r="L13" s="1">
        <v>0</v>
      </c>
      <c r="M13" s="1">
        <v>0</v>
      </c>
      <c r="N13" s="1">
        <v>5</v>
      </c>
      <c r="O13" s="1">
        <v>0</v>
      </c>
      <c r="P13" s="2"/>
      <c r="Q13" s="2"/>
      <c r="R13" s="1">
        <v>8</v>
      </c>
      <c r="S13" s="1">
        <v>4</v>
      </c>
      <c r="T13" s="1">
        <v>0</v>
      </c>
      <c r="U13" s="1">
        <v>0</v>
      </c>
      <c r="V13" s="1">
        <v>0</v>
      </c>
      <c r="W13" s="2"/>
      <c r="X13" s="2"/>
      <c r="Y13" s="1">
        <v>0</v>
      </c>
      <c r="Z13" s="1">
        <v>8</v>
      </c>
      <c r="AA13" s="1">
        <v>0</v>
      </c>
      <c r="AB13" s="1">
        <v>0</v>
      </c>
      <c r="AC13" s="1">
        <v>0</v>
      </c>
      <c r="AD13" s="2"/>
      <c r="AE13" s="2"/>
      <c r="AF13" s="1">
        <v>0</v>
      </c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44</v>
      </c>
      <c r="D14" s="1">
        <v>0</v>
      </c>
      <c r="E14" s="1">
        <v>6</v>
      </c>
      <c r="F14" s="1">
        <v>0</v>
      </c>
      <c r="G14" s="1">
        <v>6</v>
      </c>
      <c r="H14" s="1">
        <v>0</v>
      </c>
      <c r="I14" s="2"/>
      <c r="J14" s="2"/>
      <c r="K14" s="1">
        <v>0</v>
      </c>
      <c r="L14" s="1">
        <v>6</v>
      </c>
      <c r="M14" s="1">
        <v>0</v>
      </c>
      <c r="N14" s="1">
        <v>6</v>
      </c>
      <c r="O14" s="1">
        <v>0</v>
      </c>
      <c r="P14" s="2"/>
      <c r="Q14" s="2"/>
      <c r="R14" s="1">
        <v>6</v>
      </c>
      <c r="S14" s="1">
        <v>0</v>
      </c>
      <c r="T14" s="1">
        <v>0</v>
      </c>
      <c r="U14" s="1">
        <v>0</v>
      </c>
      <c r="V14" s="1">
        <v>0</v>
      </c>
      <c r="W14" s="2"/>
      <c r="X14" s="2"/>
      <c r="Y14" s="1">
        <v>0</v>
      </c>
      <c r="Z14" s="1">
        <v>8</v>
      </c>
      <c r="AA14" s="1">
        <v>6</v>
      </c>
      <c r="AB14" s="1">
        <v>0</v>
      </c>
      <c r="AC14" s="1">
        <v>0</v>
      </c>
      <c r="AD14" s="2"/>
      <c r="AE14" s="2"/>
      <c r="AF14" s="1">
        <v>0</v>
      </c>
      <c r="AG14" s="1">
        <v>0</v>
      </c>
      <c r="AH14" s="1">
        <v>0</v>
      </c>
    </row>
    <row r="15" spans="1:34">
      <c r="A15" s="1">
        <v>13</v>
      </c>
      <c r="B15" s="1" t="s">
        <v>15</v>
      </c>
      <c r="C15" s="1">
        <f t="shared" si="0"/>
        <v>13</v>
      </c>
      <c r="D15" s="1">
        <v>0</v>
      </c>
      <c r="E15" s="1">
        <v>8</v>
      </c>
      <c r="F15" s="1">
        <v>0</v>
      </c>
      <c r="G15" s="1">
        <v>0</v>
      </c>
      <c r="H15" s="1">
        <v>0</v>
      </c>
      <c r="I15" s="2"/>
      <c r="J15" s="2"/>
      <c r="K15" s="1">
        <v>0</v>
      </c>
      <c r="L15" s="1">
        <v>0</v>
      </c>
      <c r="M15" s="1">
        <v>0</v>
      </c>
      <c r="N15" s="1">
        <v>5</v>
      </c>
      <c r="O15" s="1">
        <v>0</v>
      </c>
      <c r="P15" s="2"/>
      <c r="Q15" s="2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2"/>
      <c r="X15" s="2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2"/>
      <c r="AE15" s="2"/>
      <c r="AF15" s="1">
        <v>0</v>
      </c>
      <c r="AG15" s="1">
        <v>0</v>
      </c>
      <c r="AH15" s="1">
        <v>0</v>
      </c>
    </row>
    <row r="16" spans="1:34">
      <c r="A16" s="1">
        <v>14</v>
      </c>
      <c r="B16" s="1" t="s">
        <v>16</v>
      </c>
      <c r="C16" s="1">
        <f t="shared" si="0"/>
        <v>30</v>
      </c>
      <c r="D16" s="1">
        <v>0</v>
      </c>
      <c r="E16" s="1">
        <v>6</v>
      </c>
      <c r="F16" s="1">
        <v>0</v>
      </c>
      <c r="G16" s="1">
        <v>6</v>
      </c>
      <c r="H16" s="1">
        <v>0</v>
      </c>
      <c r="I16" s="2"/>
      <c r="J16" s="2"/>
      <c r="K16" s="1">
        <v>0</v>
      </c>
      <c r="L16" s="1">
        <v>0</v>
      </c>
      <c r="M16" s="1">
        <v>0</v>
      </c>
      <c r="N16" s="1">
        <v>6</v>
      </c>
      <c r="O16" s="1">
        <v>0</v>
      </c>
      <c r="P16" s="2"/>
      <c r="Q16" s="2"/>
      <c r="R16" s="1">
        <v>0</v>
      </c>
      <c r="S16" s="1">
        <v>4</v>
      </c>
      <c r="T16" s="1">
        <v>0</v>
      </c>
      <c r="U16" s="1">
        <v>0</v>
      </c>
      <c r="V16" s="1">
        <v>0</v>
      </c>
      <c r="W16" s="2"/>
      <c r="X16" s="2"/>
      <c r="Y16" s="1">
        <v>0</v>
      </c>
      <c r="Z16" s="1">
        <v>8</v>
      </c>
      <c r="AA16" s="1">
        <v>0</v>
      </c>
      <c r="AB16" s="1">
        <v>0</v>
      </c>
      <c r="AC16" s="1">
        <v>0</v>
      </c>
      <c r="AD16" s="2"/>
      <c r="AE16" s="2"/>
      <c r="AF16" s="1">
        <v>0</v>
      </c>
      <c r="AG16" s="1">
        <v>0</v>
      </c>
      <c r="AH16" s="1">
        <v>0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9"/>
  <sheetViews>
    <sheetView workbookViewId="0">
      <selection activeCell="B2" sqref="B1:AE1048576"/>
    </sheetView>
  </sheetViews>
  <sheetFormatPr baseColWidth="10" defaultColWidth="8.83203125" defaultRowHeight="15"/>
  <cols>
    <col min="3" max="30" width="0" hidden="1" customWidth="1"/>
  </cols>
  <sheetData>
    <row r="1" spans="1:31" ht="27">
      <c r="A1" s="55" t="s">
        <v>0</v>
      </c>
      <c r="B1" s="55"/>
      <c r="C1" s="53">
        <v>45323</v>
      </c>
      <c r="D1" s="53">
        <v>45324</v>
      </c>
      <c r="E1" s="53">
        <v>45325</v>
      </c>
      <c r="F1" s="53">
        <v>45326</v>
      </c>
      <c r="G1" s="53">
        <v>45327</v>
      </c>
      <c r="H1" s="53">
        <v>45328</v>
      </c>
      <c r="I1" s="53">
        <v>45329</v>
      </c>
      <c r="J1" s="53">
        <v>45330</v>
      </c>
      <c r="K1" s="53">
        <v>45331</v>
      </c>
      <c r="L1" s="53">
        <v>45332</v>
      </c>
      <c r="M1" s="53">
        <v>45333</v>
      </c>
      <c r="N1" s="53">
        <v>45334</v>
      </c>
      <c r="O1" s="53">
        <v>45335</v>
      </c>
      <c r="P1" s="53">
        <v>45336</v>
      </c>
      <c r="Q1" s="53">
        <v>45337</v>
      </c>
      <c r="R1" s="53">
        <v>45338</v>
      </c>
      <c r="S1" s="53">
        <v>45339</v>
      </c>
      <c r="T1" s="53">
        <v>45340</v>
      </c>
      <c r="U1" s="53">
        <v>45341</v>
      </c>
      <c r="V1" s="53">
        <v>45342</v>
      </c>
      <c r="W1" s="53">
        <v>45343</v>
      </c>
      <c r="X1" s="53">
        <v>45344</v>
      </c>
      <c r="Y1" s="53">
        <v>45345</v>
      </c>
      <c r="Z1" s="53">
        <v>45346</v>
      </c>
      <c r="AA1" s="53">
        <v>45347</v>
      </c>
      <c r="AB1" s="53">
        <v>45348</v>
      </c>
      <c r="AC1" s="53">
        <v>45349</v>
      </c>
      <c r="AD1" s="53">
        <v>45350</v>
      </c>
      <c r="AE1" s="53">
        <v>45351</v>
      </c>
    </row>
    <row r="2" spans="1:31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 spans="1:31">
      <c r="A3" s="1">
        <v>1</v>
      </c>
      <c r="B3" s="1" t="s">
        <v>3</v>
      </c>
      <c r="C3" s="1" t="s">
        <v>26</v>
      </c>
      <c r="D3" s="1" t="s">
        <v>26</v>
      </c>
      <c r="E3" s="2"/>
      <c r="F3" s="2"/>
      <c r="G3" s="1" t="s">
        <v>65</v>
      </c>
      <c r="H3" s="1" t="s">
        <v>22</v>
      </c>
      <c r="I3" s="1" t="s">
        <v>78</v>
      </c>
      <c r="J3" s="2"/>
      <c r="K3" s="2"/>
      <c r="L3" s="2"/>
      <c r="M3" s="2"/>
      <c r="N3" s="2"/>
      <c r="O3" s="2"/>
      <c r="P3" s="2"/>
      <c r="Q3" s="1" t="s">
        <v>77</v>
      </c>
      <c r="R3" s="1" t="s">
        <v>77</v>
      </c>
      <c r="S3" s="1" t="s">
        <v>87</v>
      </c>
      <c r="T3" s="2"/>
      <c r="U3" s="1" t="s">
        <v>88</v>
      </c>
      <c r="V3" s="1" t="s">
        <v>27</v>
      </c>
      <c r="W3" s="1" t="s">
        <v>95</v>
      </c>
      <c r="X3" s="1" t="s">
        <v>99</v>
      </c>
      <c r="Y3" s="1" t="s">
        <v>102</v>
      </c>
      <c r="Z3" s="2"/>
      <c r="AA3" s="2"/>
      <c r="AB3" s="1" t="s">
        <v>103</v>
      </c>
      <c r="AC3" s="1" t="s">
        <v>110</v>
      </c>
      <c r="AD3" s="2"/>
      <c r="AE3" s="1" t="s">
        <v>113</v>
      </c>
    </row>
    <row r="4" spans="1:31">
      <c r="A4" s="1">
        <v>2</v>
      </c>
      <c r="B4" s="1" t="s">
        <v>4</v>
      </c>
      <c r="C4" s="1" t="s">
        <v>26</v>
      </c>
      <c r="D4" s="1" t="s">
        <v>26</v>
      </c>
      <c r="E4" s="2"/>
      <c r="F4" s="2"/>
      <c r="G4" s="1" t="s">
        <v>26</v>
      </c>
      <c r="H4" s="3" t="s">
        <v>27</v>
      </c>
      <c r="I4" s="3" t="s">
        <v>27</v>
      </c>
      <c r="J4" s="2"/>
      <c r="K4" s="2"/>
      <c r="L4" s="2"/>
      <c r="M4" s="2"/>
      <c r="N4" s="2"/>
      <c r="O4" s="2"/>
      <c r="P4" s="2"/>
      <c r="Q4" s="1" t="s">
        <v>77</v>
      </c>
      <c r="R4" s="1" t="s">
        <v>77</v>
      </c>
      <c r="S4" s="1" t="s">
        <v>87</v>
      </c>
      <c r="T4" s="2"/>
      <c r="U4" s="1" t="s">
        <v>74</v>
      </c>
      <c r="V4" s="1" t="s">
        <v>74</v>
      </c>
      <c r="W4" s="1" t="s">
        <v>74</v>
      </c>
      <c r="X4" s="1" t="s">
        <v>74</v>
      </c>
      <c r="Y4" s="1" t="s">
        <v>74</v>
      </c>
      <c r="Z4" s="2"/>
      <c r="AA4" s="2"/>
      <c r="AB4" s="1" t="s">
        <v>74</v>
      </c>
      <c r="AC4" s="1" t="s">
        <v>74</v>
      </c>
      <c r="AD4" s="2"/>
      <c r="AE4" s="1" t="s">
        <v>74</v>
      </c>
    </row>
    <row r="5" spans="1:31">
      <c r="A5" s="1">
        <v>3</v>
      </c>
      <c r="B5" s="1" t="s">
        <v>5</v>
      </c>
      <c r="C5" s="3" t="s">
        <v>58</v>
      </c>
      <c r="D5" s="3" t="s">
        <v>27</v>
      </c>
      <c r="E5" s="2"/>
      <c r="F5" s="2"/>
      <c r="G5" s="3" t="s">
        <v>63</v>
      </c>
      <c r="H5" s="3" t="s">
        <v>27</v>
      </c>
      <c r="I5" s="3" t="s">
        <v>27</v>
      </c>
      <c r="J5" s="2"/>
      <c r="K5" s="2"/>
      <c r="L5" s="2"/>
      <c r="M5" s="2"/>
      <c r="N5" s="2"/>
      <c r="O5" s="2"/>
      <c r="P5" s="2"/>
      <c r="Q5" s="1" t="s">
        <v>77</v>
      </c>
      <c r="R5" s="1" t="s">
        <v>77</v>
      </c>
      <c r="S5" s="1" t="s">
        <v>85</v>
      </c>
      <c r="T5" s="2"/>
      <c r="U5" s="1" t="s">
        <v>89</v>
      </c>
      <c r="V5" s="1" t="s">
        <v>27</v>
      </c>
      <c r="W5" s="1" t="s">
        <v>98</v>
      </c>
      <c r="X5" s="1" t="s">
        <v>100</v>
      </c>
      <c r="Y5" s="1"/>
      <c r="Z5" s="2"/>
      <c r="AA5" s="2"/>
      <c r="AB5" s="1" t="s">
        <v>104</v>
      </c>
      <c r="AC5" s="1" t="s">
        <v>27</v>
      </c>
      <c r="AD5" s="2"/>
      <c r="AE5" s="1" t="s">
        <v>111</v>
      </c>
    </row>
    <row r="6" spans="1:31">
      <c r="A6" s="1">
        <v>4</v>
      </c>
      <c r="B6" s="1" t="s">
        <v>6</v>
      </c>
      <c r="C6" s="1" t="s">
        <v>26</v>
      </c>
      <c r="D6" s="1" t="s">
        <v>26</v>
      </c>
      <c r="E6" s="2"/>
      <c r="F6" s="2"/>
      <c r="G6" s="1" t="s">
        <v>26</v>
      </c>
      <c r="H6" s="3" t="s">
        <v>27</v>
      </c>
      <c r="I6" s="1" t="s">
        <v>23</v>
      </c>
      <c r="J6" s="2"/>
      <c r="K6" s="2"/>
      <c r="L6" s="2"/>
      <c r="M6" s="2"/>
      <c r="N6" s="2"/>
      <c r="O6" s="2"/>
      <c r="P6" s="2"/>
      <c r="Q6" s="1" t="s">
        <v>79</v>
      </c>
      <c r="R6" s="1" t="s">
        <v>71</v>
      </c>
      <c r="S6" s="1" t="s">
        <v>71</v>
      </c>
      <c r="T6" s="2"/>
      <c r="U6" s="1" t="s">
        <v>74</v>
      </c>
      <c r="V6" s="1" t="s">
        <v>74</v>
      </c>
      <c r="W6" s="1" t="s">
        <v>74</v>
      </c>
      <c r="X6" s="1" t="s">
        <v>74</v>
      </c>
      <c r="Y6" s="1" t="s">
        <v>74</v>
      </c>
      <c r="Z6" s="2"/>
      <c r="AA6" s="2"/>
      <c r="AB6" s="1" t="s">
        <v>74</v>
      </c>
      <c r="AC6" s="1" t="s">
        <v>74</v>
      </c>
      <c r="AD6" s="2"/>
      <c r="AE6" s="1" t="s">
        <v>74</v>
      </c>
    </row>
    <row r="7" spans="1:31">
      <c r="A7" s="1">
        <v>5</v>
      </c>
      <c r="B7" s="1" t="s">
        <v>7</v>
      </c>
      <c r="C7" s="1" t="s">
        <v>26</v>
      </c>
      <c r="D7" s="1" t="s">
        <v>26</v>
      </c>
      <c r="E7" s="2"/>
      <c r="F7" s="2"/>
      <c r="G7" s="1" t="s">
        <v>26</v>
      </c>
      <c r="H7" s="3" t="s">
        <v>27</v>
      </c>
      <c r="I7" s="1" t="s">
        <v>68</v>
      </c>
      <c r="J7" s="2"/>
      <c r="K7" s="2"/>
      <c r="L7" s="2"/>
      <c r="M7" s="2"/>
      <c r="N7" s="2"/>
      <c r="O7" s="2"/>
      <c r="P7" s="2"/>
      <c r="Q7" s="1" t="s">
        <v>77</v>
      </c>
      <c r="R7" s="1" t="s">
        <v>72</v>
      </c>
      <c r="S7" s="1" t="s">
        <v>72</v>
      </c>
      <c r="T7" s="2"/>
      <c r="U7" s="1" t="s">
        <v>74</v>
      </c>
      <c r="V7" s="1" t="s">
        <v>74</v>
      </c>
      <c r="W7" s="1" t="s">
        <v>74</v>
      </c>
      <c r="X7" s="1" t="s">
        <v>74</v>
      </c>
      <c r="Y7" s="1" t="s">
        <v>74</v>
      </c>
      <c r="Z7" s="2"/>
      <c r="AA7" s="2"/>
      <c r="AB7" s="1" t="s">
        <v>74</v>
      </c>
      <c r="AC7" s="1" t="s">
        <v>74</v>
      </c>
      <c r="AD7" s="2"/>
      <c r="AE7" s="1" t="s">
        <v>74</v>
      </c>
    </row>
    <row r="8" spans="1:31">
      <c r="A8" s="1">
        <v>6</v>
      </c>
      <c r="B8" s="1" t="s">
        <v>8</v>
      </c>
      <c r="C8" s="3" t="s">
        <v>59</v>
      </c>
      <c r="D8" s="3" t="s">
        <v>61</v>
      </c>
      <c r="E8" s="2"/>
      <c r="F8" s="2"/>
      <c r="G8" s="3" t="s">
        <v>64</v>
      </c>
      <c r="H8" s="3" t="s">
        <v>27</v>
      </c>
      <c r="I8" s="3" t="s">
        <v>27</v>
      </c>
      <c r="J8" s="2"/>
      <c r="K8" s="2"/>
      <c r="L8" s="2"/>
      <c r="M8" s="2"/>
      <c r="N8" s="2"/>
      <c r="O8" s="2"/>
      <c r="P8" s="2"/>
      <c r="Q8" s="1" t="s">
        <v>77</v>
      </c>
      <c r="R8" s="1" t="s">
        <v>77</v>
      </c>
      <c r="S8" s="1" t="s">
        <v>86</v>
      </c>
      <c r="T8" s="2"/>
      <c r="U8" s="1" t="s">
        <v>27</v>
      </c>
      <c r="V8" s="1" t="s">
        <v>94</v>
      </c>
      <c r="W8" s="1" t="s">
        <v>97</v>
      </c>
      <c r="X8" s="1" t="s">
        <v>27</v>
      </c>
      <c r="Y8" s="1" t="s">
        <v>27</v>
      </c>
      <c r="Z8" s="2"/>
      <c r="AA8" s="2"/>
      <c r="AB8" s="1" t="s">
        <v>105</v>
      </c>
      <c r="AC8" s="1" t="s">
        <v>27</v>
      </c>
      <c r="AD8" s="2"/>
      <c r="AE8" s="1" t="s">
        <v>111</v>
      </c>
    </row>
    <row r="9" spans="1:31">
      <c r="A9" s="1">
        <v>7</v>
      </c>
      <c r="B9" s="1" t="s">
        <v>9</v>
      </c>
      <c r="C9" s="3" t="s">
        <v>60</v>
      </c>
      <c r="D9" s="3" t="s">
        <v>62</v>
      </c>
      <c r="E9" s="2"/>
      <c r="F9" s="2"/>
      <c r="G9" s="3" t="s">
        <v>66</v>
      </c>
      <c r="H9" s="3" t="s">
        <v>27</v>
      </c>
      <c r="I9" s="3" t="s">
        <v>27</v>
      </c>
      <c r="J9" s="2"/>
      <c r="K9" s="2"/>
      <c r="L9" s="2"/>
      <c r="M9" s="2"/>
      <c r="N9" s="2"/>
      <c r="O9" s="2"/>
      <c r="P9" s="2"/>
      <c r="Q9" s="1" t="s">
        <v>77</v>
      </c>
      <c r="R9" s="1" t="s">
        <v>77</v>
      </c>
      <c r="S9" s="1" t="s">
        <v>85</v>
      </c>
      <c r="T9" s="2"/>
      <c r="U9" s="1" t="s">
        <v>90</v>
      </c>
      <c r="V9" s="1" t="s">
        <v>27</v>
      </c>
      <c r="W9" s="1" t="s">
        <v>77</v>
      </c>
      <c r="X9" s="1" t="s">
        <v>77</v>
      </c>
      <c r="Y9" s="1" t="s">
        <v>77</v>
      </c>
      <c r="Z9" s="2"/>
      <c r="AA9" s="2"/>
      <c r="AB9" s="1" t="s">
        <v>106</v>
      </c>
      <c r="AC9" s="1" t="s">
        <v>109</v>
      </c>
      <c r="AD9" s="2"/>
      <c r="AE9" s="1" t="s">
        <v>112</v>
      </c>
    </row>
    <row r="10" spans="1:31">
      <c r="A10" s="1">
        <v>8</v>
      </c>
      <c r="B10" s="1" t="s">
        <v>10</v>
      </c>
      <c r="C10" s="1" t="s">
        <v>26</v>
      </c>
      <c r="D10" s="1" t="s">
        <v>26</v>
      </c>
      <c r="E10" s="2"/>
      <c r="F10" s="2"/>
      <c r="G10" s="1" t="s">
        <v>26</v>
      </c>
      <c r="H10" s="3" t="s">
        <v>23</v>
      </c>
      <c r="I10" s="3" t="s">
        <v>27</v>
      </c>
      <c r="J10" s="2"/>
      <c r="K10" s="2"/>
      <c r="L10" s="2"/>
      <c r="M10" s="2"/>
      <c r="N10" s="2"/>
      <c r="O10" s="2"/>
      <c r="P10" s="2"/>
      <c r="Q10" s="1" t="s">
        <v>77</v>
      </c>
      <c r="R10" s="1" t="s">
        <v>82</v>
      </c>
      <c r="S10" s="1" t="s">
        <v>84</v>
      </c>
      <c r="T10" s="2"/>
      <c r="U10" s="1" t="s">
        <v>74</v>
      </c>
      <c r="V10" s="1" t="s">
        <v>74</v>
      </c>
      <c r="W10" s="1" t="s">
        <v>74</v>
      </c>
      <c r="X10" s="1" t="s">
        <v>74</v>
      </c>
      <c r="Y10" s="1" t="s">
        <v>74</v>
      </c>
      <c r="Z10" s="2"/>
      <c r="AA10" s="2"/>
      <c r="AB10" s="1" t="s">
        <v>74</v>
      </c>
      <c r="AC10" s="1" t="s">
        <v>74</v>
      </c>
      <c r="AD10" s="2"/>
      <c r="AE10" s="1" t="s">
        <v>74</v>
      </c>
    </row>
    <row r="11" spans="1:31">
      <c r="A11" s="1">
        <v>9</v>
      </c>
      <c r="B11" s="1" t="s">
        <v>11</v>
      </c>
      <c r="C11" s="1" t="s">
        <v>26</v>
      </c>
      <c r="D11" s="1" t="s">
        <v>26</v>
      </c>
      <c r="E11" s="2"/>
      <c r="F11" s="2"/>
      <c r="G11" s="1" t="s">
        <v>26</v>
      </c>
      <c r="H11" s="3" t="s">
        <v>27</v>
      </c>
      <c r="I11" s="1" t="s">
        <v>70</v>
      </c>
      <c r="J11" s="2"/>
      <c r="K11" s="2"/>
      <c r="L11" s="2"/>
      <c r="M11" s="2"/>
      <c r="N11" s="2"/>
      <c r="O11" s="2"/>
      <c r="P11" s="2"/>
      <c r="Q11" s="1" t="s">
        <v>77</v>
      </c>
      <c r="R11" s="1" t="s">
        <v>77</v>
      </c>
      <c r="S11" s="1" t="s">
        <v>83</v>
      </c>
      <c r="T11" s="2"/>
      <c r="U11" s="1" t="s">
        <v>76</v>
      </c>
      <c r="V11" s="1" t="s">
        <v>76</v>
      </c>
      <c r="W11" s="1" t="s">
        <v>76</v>
      </c>
      <c r="X11" s="1" t="s">
        <v>76</v>
      </c>
      <c r="Y11" s="1" t="s">
        <v>76</v>
      </c>
      <c r="Z11" s="2"/>
      <c r="AA11" s="2"/>
      <c r="AB11" s="1" t="s">
        <v>76</v>
      </c>
      <c r="AC11" s="1" t="s">
        <v>76</v>
      </c>
      <c r="AD11" s="2"/>
      <c r="AE11" s="1" t="s">
        <v>76</v>
      </c>
    </row>
    <row r="12" spans="1:31">
      <c r="A12" s="1">
        <v>10</v>
      </c>
      <c r="B12" s="1" t="s">
        <v>12</v>
      </c>
      <c r="C12" s="1" t="s">
        <v>26</v>
      </c>
      <c r="D12" s="1" t="s">
        <v>26</v>
      </c>
      <c r="E12" s="2"/>
      <c r="F12" s="2"/>
      <c r="G12" s="1" t="s">
        <v>26</v>
      </c>
      <c r="H12" s="3" t="s">
        <v>27</v>
      </c>
      <c r="I12" s="3" t="s">
        <v>27</v>
      </c>
      <c r="J12" s="2"/>
      <c r="K12" s="2"/>
      <c r="L12" s="2"/>
      <c r="M12" s="2"/>
      <c r="N12" s="2"/>
      <c r="O12" s="2"/>
      <c r="P12" s="2"/>
      <c r="Q12" s="1" t="s">
        <v>77</v>
      </c>
      <c r="R12" s="1" t="s">
        <v>73</v>
      </c>
      <c r="S12" s="1" t="s">
        <v>73</v>
      </c>
      <c r="T12" s="2"/>
      <c r="U12" s="1" t="s">
        <v>75</v>
      </c>
      <c r="V12" s="1" t="s">
        <v>75</v>
      </c>
      <c r="W12" s="1" t="s">
        <v>75</v>
      </c>
      <c r="X12" s="1" t="s">
        <v>75</v>
      </c>
      <c r="Y12" s="1" t="s">
        <v>75</v>
      </c>
      <c r="Z12" s="2"/>
      <c r="AA12" s="2"/>
      <c r="AB12" s="1" t="s">
        <v>75</v>
      </c>
      <c r="AC12" s="1" t="s">
        <v>75</v>
      </c>
      <c r="AD12" s="2"/>
      <c r="AE12" s="1" t="s">
        <v>75</v>
      </c>
    </row>
    <row r="13" spans="1:31">
      <c r="A13" s="1">
        <v>11</v>
      </c>
      <c r="B13" s="1" t="s">
        <v>13</v>
      </c>
      <c r="C13" s="1" t="s">
        <v>26</v>
      </c>
      <c r="D13" s="1" t="s">
        <v>26</v>
      </c>
      <c r="E13" s="2"/>
      <c r="F13" s="2"/>
      <c r="G13" s="1" t="s">
        <v>27</v>
      </c>
      <c r="H13" s="3" t="s">
        <v>27</v>
      </c>
      <c r="I13" s="1" t="s">
        <v>69</v>
      </c>
      <c r="J13" s="2"/>
      <c r="K13" s="2"/>
      <c r="L13" s="2"/>
      <c r="M13" s="2"/>
      <c r="N13" s="2"/>
      <c r="O13" s="2"/>
      <c r="P13" s="2"/>
      <c r="Q13" s="1" t="s">
        <v>77</v>
      </c>
      <c r="R13" s="1" t="s">
        <v>80</v>
      </c>
      <c r="S13" s="1" t="s">
        <v>23</v>
      </c>
      <c r="T13" s="2"/>
      <c r="U13" s="1" t="s">
        <v>23</v>
      </c>
      <c r="V13" s="1" t="s">
        <v>93</v>
      </c>
      <c r="W13" s="1" t="s">
        <v>96</v>
      </c>
      <c r="X13" s="1" t="s">
        <v>27</v>
      </c>
      <c r="Y13" s="1" t="s">
        <v>101</v>
      </c>
      <c r="Z13" s="2"/>
      <c r="AA13" s="2"/>
      <c r="AB13" s="1" t="s">
        <v>107</v>
      </c>
      <c r="AC13" s="1" t="s">
        <v>27</v>
      </c>
      <c r="AD13" s="2"/>
      <c r="AE13" s="1" t="s">
        <v>111</v>
      </c>
    </row>
    <row r="14" spans="1:31">
      <c r="A14" s="1">
        <v>12</v>
      </c>
      <c r="B14" s="1" t="s">
        <v>14</v>
      </c>
      <c r="C14" s="1" t="s">
        <v>26</v>
      </c>
      <c r="D14" s="1" t="s">
        <v>26</v>
      </c>
      <c r="E14" s="2"/>
      <c r="F14" s="2"/>
      <c r="G14" s="1" t="s">
        <v>26</v>
      </c>
      <c r="H14" s="1" t="s">
        <v>26</v>
      </c>
      <c r="I14" s="1" t="s">
        <v>26</v>
      </c>
      <c r="J14" s="2"/>
      <c r="K14" s="2"/>
      <c r="L14" s="2"/>
      <c r="M14" s="2"/>
      <c r="N14" s="2"/>
      <c r="O14" s="2"/>
      <c r="P14" s="2"/>
      <c r="Q14" s="1" t="s">
        <v>77</v>
      </c>
      <c r="R14" s="1" t="s">
        <v>77</v>
      </c>
      <c r="S14" s="1" t="s">
        <v>80</v>
      </c>
      <c r="T14" s="2"/>
      <c r="U14" s="1" t="s">
        <v>92</v>
      </c>
      <c r="V14" s="1" t="s">
        <v>91</v>
      </c>
      <c r="W14" s="1" t="s">
        <v>75</v>
      </c>
      <c r="X14" s="1" t="s">
        <v>75</v>
      </c>
      <c r="Y14" s="1" t="s">
        <v>75</v>
      </c>
      <c r="Z14" s="2"/>
      <c r="AA14" s="2"/>
      <c r="AB14" s="1" t="s">
        <v>75</v>
      </c>
      <c r="AC14" s="1" t="s">
        <v>75</v>
      </c>
      <c r="AD14" s="2"/>
      <c r="AE14" s="1" t="s">
        <v>75</v>
      </c>
    </row>
    <row r="15" spans="1:31">
      <c r="A15" s="1">
        <v>13</v>
      </c>
      <c r="B15" s="1" t="s">
        <v>15</v>
      </c>
      <c r="C15" s="1" t="s">
        <v>26</v>
      </c>
      <c r="D15" s="1" t="s">
        <v>26</v>
      </c>
      <c r="E15" s="2"/>
      <c r="F15" s="2"/>
      <c r="G15" s="1" t="s">
        <v>26</v>
      </c>
      <c r="H15" s="1" t="s">
        <v>67</v>
      </c>
      <c r="I15" s="1" t="s">
        <v>22</v>
      </c>
      <c r="J15" s="2"/>
      <c r="K15" s="2"/>
      <c r="L15" s="2"/>
      <c r="M15" s="2"/>
      <c r="N15" s="2"/>
      <c r="O15" s="2"/>
      <c r="P15" s="2"/>
      <c r="Q15" s="1" t="s">
        <v>77</v>
      </c>
      <c r="R15" s="1" t="s">
        <v>77</v>
      </c>
      <c r="S15" s="1" t="s">
        <v>23</v>
      </c>
      <c r="T15" s="2"/>
      <c r="U15" s="1" t="s">
        <v>75</v>
      </c>
      <c r="V15" s="1" t="s">
        <v>75</v>
      </c>
      <c r="W15" s="1" t="s">
        <v>75</v>
      </c>
      <c r="X15" s="1" t="s">
        <v>75</v>
      </c>
      <c r="Y15" s="1" t="s">
        <v>75</v>
      </c>
      <c r="Z15" s="2"/>
      <c r="AA15" s="2"/>
      <c r="AB15" s="1" t="s">
        <v>75</v>
      </c>
      <c r="AC15" s="1" t="s">
        <v>75</v>
      </c>
      <c r="AD15" s="2"/>
      <c r="AE15" s="1" t="s">
        <v>75</v>
      </c>
    </row>
    <row r="16" spans="1:31">
      <c r="A16" s="1">
        <v>14</v>
      </c>
      <c r="B16" s="1" t="s">
        <v>16</v>
      </c>
      <c r="C16" s="1" t="s">
        <v>26</v>
      </c>
      <c r="D16" s="1" t="s">
        <v>26</v>
      </c>
      <c r="E16" s="2"/>
      <c r="F16" s="2"/>
      <c r="G16" s="1" t="s">
        <v>27</v>
      </c>
      <c r="H16" s="3" t="s">
        <v>27</v>
      </c>
      <c r="I16" s="1" t="s">
        <v>22</v>
      </c>
      <c r="J16" s="2"/>
      <c r="K16" s="2"/>
      <c r="L16" s="2"/>
      <c r="M16" s="2"/>
      <c r="N16" s="2"/>
      <c r="O16" s="2"/>
      <c r="P16" s="2"/>
      <c r="Q16" s="1" t="s">
        <v>77</v>
      </c>
      <c r="R16" s="1" t="s">
        <v>81</v>
      </c>
      <c r="S16" s="1" t="s">
        <v>73</v>
      </c>
      <c r="T16" s="2"/>
      <c r="U16" s="1" t="s">
        <v>75</v>
      </c>
      <c r="V16" s="1" t="s">
        <v>75</v>
      </c>
      <c r="W16" s="1" t="s">
        <v>75</v>
      </c>
      <c r="X16" s="1" t="s">
        <v>75</v>
      </c>
      <c r="Y16" s="1" t="s">
        <v>75</v>
      </c>
      <c r="Z16" s="2"/>
      <c r="AA16" s="2"/>
      <c r="AB16" s="1" t="s">
        <v>75</v>
      </c>
      <c r="AC16" s="1" t="s">
        <v>75</v>
      </c>
      <c r="AD16" s="2"/>
      <c r="AE16" s="1" t="s">
        <v>75</v>
      </c>
    </row>
    <row r="17" spans="1:2">
      <c r="A17" s="5" t="s">
        <v>27</v>
      </c>
      <c r="B17" t="s">
        <v>24</v>
      </c>
    </row>
    <row r="18" spans="1:2">
      <c r="A18" s="4" t="s">
        <v>23</v>
      </c>
      <c r="B18" t="s">
        <v>25</v>
      </c>
    </row>
    <row r="19" spans="1:2">
      <c r="A19" s="8" t="s">
        <v>108</v>
      </c>
      <c r="B19" s="7" t="s">
        <v>40</v>
      </c>
    </row>
  </sheetData>
  <mergeCells count="30">
    <mergeCell ref="AA1:AA2"/>
    <mergeCell ref="AB1:AB2"/>
    <mergeCell ref="AC1:AC2"/>
    <mergeCell ref="AD1:AD2"/>
    <mergeCell ref="AE1:AE2"/>
    <mergeCell ref="V1:V2"/>
    <mergeCell ref="W1:W2"/>
    <mergeCell ref="X1:X2"/>
    <mergeCell ref="Y1:Y2"/>
    <mergeCell ref="Z1:Z2"/>
    <mergeCell ref="Q1:Q2"/>
    <mergeCell ref="R1:R2"/>
    <mergeCell ref="S1:S2"/>
    <mergeCell ref="T1:T2"/>
    <mergeCell ref="U1:U2"/>
    <mergeCell ref="L1:L2"/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A1:B1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F16"/>
  <sheetViews>
    <sheetView workbookViewId="0">
      <selection activeCell="C1" sqref="C1:C1048576"/>
    </sheetView>
  </sheetViews>
  <sheetFormatPr baseColWidth="10" defaultColWidth="8.83203125" defaultRowHeight="15"/>
  <cols>
    <col min="3" max="3" width="15.33203125" bestFit="1" customWidth="1"/>
    <col min="4" max="8" width="8.83203125" hidden="1" customWidth="1"/>
    <col min="9" max="9" width="9.1640625" hidden="1" customWidth="1"/>
    <col min="10" max="31" width="8.83203125" hidden="1" customWidth="1"/>
    <col min="32" max="32" width="8.83203125" customWidth="1"/>
  </cols>
  <sheetData>
    <row r="1" spans="1:32" ht="27">
      <c r="A1" s="57" t="s">
        <v>17</v>
      </c>
      <c r="B1" s="57"/>
      <c r="C1" s="43" t="s">
        <v>57</v>
      </c>
      <c r="D1" s="56">
        <v>45323</v>
      </c>
      <c r="E1" s="56">
        <v>45324</v>
      </c>
      <c r="F1" s="56">
        <v>45325</v>
      </c>
      <c r="G1" s="56">
        <v>45326</v>
      </c>
      <c r="H1" s="56">
        <v>45327</v>
      </c>
      <c r="I1" s="56">
        <v>45328</v>
      </c>
      <c r="J1" s="56">
        <v>45329</v>
      </c>
      <c r="K1" s="56">
        <v>45330</v>
      </c>
      <c r="L1" s="56">
        <v>45331</v>
      </c>
      <c r="M1" s="56">
        <v>45332</v>
      </c>
      <c r="N1" s="56">
        <v>45333</v>
      </c>
      <c r="O1" s="56">
        <v>45334</v>
      </c>
      <c r="P1" s="56">
        <v>45335</v>
      </c>
      <c r="Q1" s="56">
        <v>45336</v>
      </c>
      <c r="R1" s="56">
        <v>45337</v>
      </c>
      <c r="S1" s="56">
        <v>45338</v>
      </c>
      <c r="T1" s="56">
        <v>45339</v>
      </c>
      <c r="U1" s="56">
        <v>45340</v>
      </c>
      <c r="V1" s="56">
        <v>45341</v>
      </c>
      <c r="W1" s="56">
        <v>45342</v>
      </c>
      <c r="X1" s="56">
        <v>45343</v>
      </c>
      <c r="Y1" s="56">
        <v>45344</v>
      </c>
      <c r="Z1" s="56">
        <v>45345</v>
      </c>
      <c r="AA1" s="56">
        <v>45346</v>
      </c>
      <c r="AB1" s="56">
        <v>45347</v>
      </c>
      <c r="AC1" s="56">
        <v>45348</v>
      </c>
      <c r="AD1" s="56">
        <v>45349</v>
      </c>
      <c r="AE1" s="56">
        <v>45350</v>
      </c>
      <c r="AF1" s="56">
        <v>45351</v>
      </c>
    </row>
    <row r="2" spans="1:32">
      <c r="A2" s="1" t="s">
        <v>1</v>
      </c>
      <c r="B2" s="1" t="s">
        <v>2</v>
      </c>
      <c r="C2" s="58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</row>
    <row r="3" spans="1:32">
      <c r="A3" s="1">
        <v>1</v>
      </c>
      <c r="B3" s="1" t="s">
        <v>3</v>
      </c>
      <c r="C3" s="1">
        <f t="shared" ref="C3:C16" si="0">SUM(D3:AF3)</f>
        <v>0</v>
      </c>
      <c r="D3" s="1">
        <v>0</v>
      </c>
      <c r="E3" s="1">
        <v>0</v>
      </c>
      <c r="F3" s="2"/>
      <c r="G3" s="2"/>
      <c r="H3" s="1">
        <v>0</v>
      </c>
      <c r="I3" s="1">
        <v>0</v>
      </c>
      <c r="J3" s="1">
        <v>0</v>
      </c>
      <c r="K3" s="2"/>
      <c r="L3" s="2"/>
      <c r="M3" s="2"/>
      <c r="N3" s="2"/>
      <c r="O3" s="2"/>
      <c r="P3" s="2"/>
      <c r="Q3" s="2"/>
      <c r="R3" s="1">
        <v>0</v>
      </c>
      <c r="S3" s="1">
        <v>0</v>
      </c>
      <c r="T3" s="1">
        <v>0</v>
      </c>
      <c r="U3" s="2"/>
      <c r="V3" s="1">
        <v>0</v>
      </c>
      <c r="W3" s="1">
        <v>0</v>
      </c>
      <c r="X3" s="1">
        <v>0</v>
      </c>
      <c r="Y3" s="1">
        <v>0</v>
      </c>
      <c r="Z3" s="1">
        <v>0</v>
      </c>
      <c r="AA3" s="2"/>
      <c r="AB3" s="2"/>
      <c r="AC3" s="1">
        <v>0</v>
      </c>
      <c r="AD3" s="1">
        <v>0</v>
      </c>
      <c r="AE3" s="2"/>
      <c r="AF3" s="1">
        <v>0</v>
      </c>
    </row>
    <row r="4" spans="1:32">
      <c r="A4" s="1">
        <v>2</v>
      </c>
      <c r="B4" s="1" t="s">
        <v>4</v>
      </c>
      <c r="C4" s="1">
        <f t="shared" si="0"/>
        <v>23</v>
      </c>
      <c r="D4" s="1">
        <v>0</v>
      </c>
      <c r="E4" s="1">
        <v>0</v>
      </c>
      <c r="F4" s="2"/>
      <c r="G4" s="2"/>
      <c r="H4" s="1">
        <v>0</v>
      </c>
      <c r="I4" s="1">
        <v>7</v>
      </c>
      <c r="J4" s="1">
        <v>0</v>
      </c>
      <c r="K4" s="2"/>
      <c r="L4" s="2"/>
      <c r="M4" s="2"/>
      <c r="N4" s="2"/>
      <c r="O4" s="2"/>
      <c r="P4" s="2"/>
      <c r="Q4" s="2"/>
      <c r="R4" s="1">
        <v>0</v>
      </c>
      <c r="S4" s="1">
        <v>0</v>
      </c>
      <c r="T4" s="1">
        <v>16</v>
      </c>
      <c r="U4" s="2"/>
      <c r="V4" s="1">
        <v>0</v>
      </c>
      <c r="W4" s="1">
        <v>0</v>
      </c>
      <c r="X4" s="1">
        <v>0</v>
      </c>
      <c r="Y4" s="1">
        <v>0</v>
      </c>
      <c r="Z4" s="1">
        <v>0</v>
      </c>
      <c r="AA4" s="2"/>
      <c r="AB4" s="2"/>
      <c r="AC4" s="1">
        <v>0</v>
      </c>
      <c r="AD4" s="1">
        <v>0</v>
      </c>
      <c r="AE4" s="2"/>
      <c r="AF4" s="1">
        <v>0</v>
      </c>
    </row>
    <row r="5" spans="1:32">
      <c r="A5" s="1">
        <v>3</v>
      </c>
      <c r="B5" s="1" t="s">
        <v>5</v>
      </c>
      <c r="C5" s="1">
        <f t="shared" si="0"/>
        <v>9</v>
      </c>
      <c r="D5" s="1">
        <v>0</v>
      </c>
      <c r="E5" s="1">
        <v>0</v>
      </c>
      <c r="F5" s="2"/>
      <c r="G5" s="2"/>
      <c r="H5" s="1">
        <v>0</v>
      </c>
      <c r="I5" s="1">
        <v>5</v>
      </c>
      <c r="J5" s="1">
        <v>0</v>
      </c>
      <c r="K5" s="2"/>
      <c r="L5" s="2"/>
      <c r="M5" s="2"/>
      <c r="N5" s="2"/>
      <c r="O5" s="2"/>
      <c r="P5" s="2"/>
      <c r="Q5" s="2"/>
      <c r="R5" s="1">
        <v>4</v>
      </c>
      <c r="S5" s="1">
        <v>0</v>
      </c>
      <c r="T5" s="1">
        <v>0</v>
      </c>
      <c r="U5" s="2"/>
      <c r="V5" s="1">
        <v>0</v>
      </c>
      <c r="W5" s="1">
        <v>0</v>
      </c>
      <c r="X5" s="1">
        <v>0</v>
      </c>
      <c r="Y5" s="1">
        <v>0</v>
      </c>
      <c r="Z5" s="1">
        <v>0</v>
      </c>
      <c r="AA5" s="2"/>
      <c r="AB5" s="2"/>
      <c r="AC5" s="1">
        <v>0</v>
      </c>
      <c r="AD5" s="1">
        <v>0</v>
      </c>
      <c r="AE5" s="2"/>
      <c r="AF5" s="1">
        <v>0</v>
      </c>
    </row>
    <row r="6" spans="1:32">
      <c r="A6" s="1">
        <v>4</v>
      </c>
      <c r="B6" s="1" t="s">
        <v>6</v>
      </c>
      <c r="C6" s="1">
        <f t="shared" si="0"/>
        <v>40</v>
      </c>
      <c r="D6" s="1">
        <v>0</v>
      </c>
      <c r="E6" s="1">
        <v>0</v>
      </c>
      <c r="F6" s="2"/>
      <c r="G6" s="2"/>
      <c r="H6" s="1">
        <v>0</v>
      </c>
      <c r="I6" s="1">
        <v>8</v>
      </c>
      <c r="J6" s="1">
        <v>16</v>
      </c>
      <c r="K6" s="2"/>
      <c r="L6" s="2"/>
      <c r="M6" s="2"/>
      <c r="N6" s="2"/>
      <c r="O6" s="2"/>
      <c r="P6" s="2"/>
      <c r="Q6" s="2"/>
      <c r="R6" s="1">
        <v>16</v>
      </c>
      <c r="S6" s="1">
        <v>0</v>
      </c>
      <c r="T6" s="1">
        <v>0</v>
      </c>
      <c r="U6" s="2"/>
      <c r="V6" s="1">
        <v>0</v>
      </c>
      <c r="W6" s="1">
        <v>0</v>
      </c>
      <c r="X6" s="1">
        <v>0</v>
      </c>
      <c r="Y6" s="1">
        <v>0</v>
      </c>
      <c r="Z6" s="1">
        <v>0</v>
      </c>
      <c r="AA6" s="2"/>
      <c r="AB6" s="2"/>
      <c r="AC6" s="1">
        <v>0</v>
      </c>
      <c r="AD6" s="1">
        <v>0</v>
      </c>
      <c r="AE6" s="2"/>
      <c r="AF6" s="1">
        <v>0</v>
      </c>
    </row>
    <row r="7" spans="1:32">
      <c r="A7" s="1">
        <v>5</v>
      </c>
      <c r="B7" s="1" t="s">
        <v>7</v>
      </c>
      <c r="C7" s="1">
        <f t="shared" si="0"/>
        <v>21</v>
      </c>
      <c r="D7" s="1">
        <v>0</v>
      </c>
      <c r="E7" s="1">
        <v>0</v>
      </c>
      <c r="F7" s="2"/>
      <c r="G7" s="2"/>
      <c r="H7" s="1">
        <v>0</v>
      </c>
      <c r="I7" s="1">
        <v>5</v>
      </c>
      <c r="J7" s="1">
        <v>16</v>
      </c>
      <c r="K7" s="2"/>
      <c r="L7" s="2"/>
      <c r="M7" s="2"/>
      <c r="N7" s="2"/>
      <c r="O7" s="2"/>
      <c r="P7" s="2"/>
      <c r="Q7" s="2"/>
      <c r="R7" s="1">
        <v>0</v>
      </c>
      <c r="S7" s="1">
        <v>0</v>
      </c>
      <c r="T7" s="1">
        <v>0</v>
      </c>
      <c r="U7" s="2"/>
      <c r="V7" s="1">
        <v>0</v>
      </c>
      <c r="W7" s="1">
        <v>0</v>
      </c>
      <c r="X7" s="1">
        <v>0</v>
      </c>
      <c r="Y7" s="1">
        <v>0</v>
      </c>
      <c r="Z7" s="1">
        <v>0</v>
      </c>
      <c r="AA7" s="2"/>
      <c r="AB7" s="2"/>
      <c r="AC7" s="1">
        <v>0</v>
      </c>
      <c r="AD7" s="1">
        <v>0</v>
      </c>
      <c r="AE7" s="2"/>
      <c r="AF7" s="1">
        <v>0</v>
      </c>
    </row>
    <row r="8" spans="1:32">
      <c r="A8" s="1">
        <v>6</v>
      </c>
      <c r="B8" s="1" t="s">
        <v>8</v>
      </c>
      <c r="C8" s="1">
        <f t="shared" si="0"/>
        <v>8</v>
      </c>
      <c r="D8" s="1">
        <v>0</v>
      </c>
      <c r="E8" s="1">
        <v>0</v>
      </c>
      <c r="F8" s="2"/>
      <c r="G8" s="2"/>
      <c r="H8" s="1">
        <v>0</v>
      </c>
      <c r="I8" s="1">
        <v>8</v>
      </c>
      <c r="J8" s="1">
        <v>0</v>
      </c>
      <c r="K8" s="2"/>
      <c r="L8" s="2"/>
      <c r="M8" s="2"/>
      <c r="N8" s="2"/>
      <c r="O8" s="2"/>
      <c r="P8" s="2"/>
      <c r="Q8" s="2"/>
      <c r="R8" s="1">
        <v>0</v>
      </c>
      <c r="S8" s="1">
        <v>0</v>
      </c>
      <c r="T8" s="1">
        <v>0</v>
      </c>
      <c r="U8" s="2"/>
      <c r="V8" s="1">
        <v>0</v>
      </c>
      <c r="W8" s="1">
        <v>0</v>
      </c>
      <c r="X8" s="1">
        <v>0</v>
      </c>
      <c r="Y8" s="1">
        <v>0</v>
      </c>
      <c r="Z8" s="1">
        <v>0</v>
      </c>
      <c r="AA8" s="2"/>
      <c r="AB8" s="2"/>
      <c r="AC8" s="1">
        <v>0</v>
      </c>
      <c r="AD8" s="1">
        <v>0</v>
      </c>
      <c r="AE8" s="2"/>
      <c r="AF8" s="1">
        <v>0</v>
      </c>
    </row>
    <row r="9" spans="1:32">
      <c r="A9" s="1">
        <v>7</v>
      </c>
      <c r="B9" s="1" t="s">
        <v>9</v>
      </c>
      <c r="C9" s="1">
        <f t="shared" si="0"/>
        <v>46</v>
      </c>
      <c r="D9" s="1">
        <v>0</v>
      </c>
      <c r="E9" s="1">
        <v>0</v>
      </c>
      <c r="F9" s="2"/>
      <c r="G9" s="2"/>
      <c r="H9" s="1">
        <v>16</v>
      </c>
      <c r="I9" s="1">
        <v>0</v>
      </c>
      <c r="J9" s="1">
        <v>14</v>
      </c>
      <c r="K9" s="2"/>
      <c r="L9" s="2"/>
      <c r="M9" s="2"/>
      <c r="N9" s="2"/>
      <c r="O9" s="2"/>
      <c r="P9" s="2"/>
      <c r="Q9" s="2"/>
      <c r="R9" s="1">
        <v>0</v>
      </c>
      <c r="S9" s="1">
        <v>0</v>
      </c>
      <c r="T9" s="1">
        <v>0</v>
      </c>
      <c r="U9" s="2"/>
      <c r="V9" s="1">
        <v>16</v>
      </c>
      <c r="W9" s="1">
        <v>0</v>
      </c>
      <c r="X9" s="1">
        <v>0</v>
      </c>
      <c r="Y9" s="1">
        <v>0</v>
      </c>
      <c r="Z9" s="1">
        <v>0</v>
      </c>
      <c r="AA9" s="2"/>
      <c r="AB9" s="2"/>
      <c r="AC9" s="1">
        <v>0</v>
      </c>
      <c r="AD9" s="1">
        <v>0</v>
      </c>
      <c r="AE9" s="2"/>
      <c r="AF9" s="1">
        <v>0</v>
      </c>
    </row>
    <row r="10" spans="1:32">
      <c r="A10" s="1">
        <v>8</v>
      </c>
      <c r="B10" s="1" t="s">
        <v>10</v>
      </c>
      <c r="C10" s="1">
        <f t="shared" si="0"/>
        <v>56</v>
      </c>
      <c r="D10" s="1">
        <v>0</v>
      </c>
      <c r="E10" s="1">
        <v>0</v>
      </c>
      <c r="F10" s="2"/>
      <c r="G10" s="2"/>
      <c r="H10" s="1">
        <v>0</v>
      </c>
      <c r="I10" s="1">
        <v>16</v>
      </c>
      <c r="J10" s="1">
        <v>8</v>
      </c>
      <c r="K10" s="2"/>
      <c r="L10" s="2"/>
      <c r="M10" s="2"/>
      <c r="N10" s="2"/>
      <c r="O10" s="2"/>
      <c r="P10" s="2"/>
      <c r="Q10" s="2"/>
      <c r="R10" s="1">
        <v>0</v>
      </c>
      <c r="S10" s="1">
        <v>16</v>
      </c>
      <c r="T10" s="1">
        <v>16</v>
      </c>
      <c r="U10" s="2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1">
        <v>0</v>
      </c>
      <c r="AD10" s="1">
        <v>0</v>
      </c>
      <c r="AE10" s="2"/>
      <c r="AF10" s="1">
        <v>0</v>
      </c>
    </row>
    <row r="11" spans="1:32">
      <c r="A11" s="1">
        <v>9</v>
      </c>
      <c r="B11" s="1" t="s">
        <v>11</v>
      </c>
      <c r="C11" s="1">
        <f t="shared" si="0"/>
        <v>32</v>
      </c>
      <c r="D11" s="1">
        <v>0</v>
      </c>
      <c r="E11" s="1">
        <v>0</v>
      </c>
      <c r="F11" s="2"/>
      <c r="G11" s="2"/>
      <c r="H11" s="1">
        <v>0</v>
      </c>
      <c r="I11" s="1">
        <v>0</v>
      </c>
      <c r="J11" s="1">
        <v>16</v>
      </c>
      <c r="K11" s="2"/>
      <c r="L11" s="2"/>
      <c r="M11" s="2"/>
      <c r="N11" s="2"/>
      <c r="O11" s="2"/>
      <c r="P11" s="2"/>
      <c r="Q11" s="2"/>
      <c r="R11" s="1">
        <v>0</v>
      </c>
      <c r="S11" s="1">
        <v>0</v>
      </c>
      <c r="T11" s="1">
        <v>16</v>
      </c>
      <c r="U11" s="2"/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2"/>
      <c r="AB11" s="2"/>
      <c r="AC11" s="1">
        <v>0</v>
      </c>
      <c r="AD11" s="1">
        <v>0</v>
      </c>
      <c r="AE11" s="2"/>
      <c r="AF11" s="1">
        <v>0</v>
      </c>
    </row>
    <row r="12" spans="1:32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2"/>
      <c r="G12" s="2"/>
      <c r="H12" s="1">
        <v>0</v>
      </c>
      <c r="I12" s="1">
        <v>0</v>
      </c>
      <c r="J12" s="1">
        <v>0</v>
      </c>
      <c r="K12" s="2"/>
      <c r="L12" s="2"/>
      <c r="M12" s="2"/>
      <c r="N12" s="2"/>
      <c r="O12" s="2"/>
      <c r="P12" s="2"/>
      <c r="Q12" s="2"/>
      <c r="R12" s="1">
        <v>0</v>
      </c>
      <c r="S12" s="1">
        <v>0</v>
      </c>
      <c r="T12" s="1">
        <v>0</v>
      </c>
      <c r="U12" s="2"/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1">
        <v>0</v>
      </c>
      <c r="AD12" s="1">
        <v>0</v>
      </c>
      <c r="AE12" s="2"/>
      <c r="AF12" s="1">
        <v>0</v>
      </c>
    </row>
    <row r="13" spans="1:32">
      <c r="A13" s="1">
        <v>11</v>
      </c>
      <c r="B13" s="1" t="s">
        <v>13</v>
      </c>
      <c r="C13" s="1">
        <f t="shared" si="0"/>
        <v>93</v>
      </c>
      <c r="D13" s="1">
        <v>0</v>
      </c>
      <c r="E13" s="1">
        <v>0</v>
      </c>
      <c r="F13" s="2"/>
      <c r="G13" s="2"/>
      <c r="H13" s="1">
        <v>0</v>
      </c>
      <c r="I13" s="1">
        <v>0</v>
      </c>
      <c r="J13" s="1">
        <v>16</v>
      </c>
      <c r="K13" s="2"/>
      <c r="L13" s="2"/>
      <c r="M13" s="2"/>
      <c r="N13" s="2"/>
      <c r="O13" s="2"/>
      <c r="P13" s="2"/>
      <c r="Q13" s="2"/>
      <c r="R13" s="1">
        <v>8</v>
      </c>
      <c r="S13" s="1">
        <v>16</v>
      </c>
      <c r="T13" s="1">
        <v>16</v>
      </c>
      <c r="U13" s="2"/>
      <c r="V13" s="1">
        <v>16</v>
      </c>
      <c r="W13" s="1">
        <v>0</v>
      </c>
      <c r="X13" s="1">
        <v>0</v>
      </c>
      <c r="Y13" s="1">
        <v>5</v>
      </c>
      <c r="Z13" s="1">
        <v>16</v>
      </c>
      <c r="AA13" s="2"/>
      <c r="AB13" s="2"/>
      <c r="AC13" s="1">
        <v>0</v>
      </c>
      <c r="AD13" s="1">
        <v>0</v>
      </c>
      <c r="AE13" s="2"/>
      <c r="AF13" s="1">
        <v>0</v>
      </c>
    </row>
    <row r="14" spans="1:32">
      <c r="A14" s="1">
        <v>12</v>
      </c>
      <c r="B14" s="1" t="s">
        <v>14</v>
      </c>
      <c r="C14" s="1">
        <f t="shared" si="0"/>
        <v>32</v>
      </c>
      <c r="D14" s="1">
        <v>0</v>
      </c>
      <c r="E14" s="1">
        <v>0</v>
      </c>
      <c r="F14" s="2"/>
      <c r="G14" s="2"/>
      <c r="H14" s="1">
        <v>0</v>
      </c>
      <c r="I14" s="1">
        <v>0</v>
      </c>
      <c r="J14" s="1">
        <v>0</v>
      </c>
      <c r="K14" s="2"/>
      <c r="L14" s="2"/>
      <c r="M14" s="2"/>
      <c r="N14" s="2"/>
      <c r="O14" s="2"/>
      <c r="P14" s="2"/>
      <c r="Q14" s="2"/>
      <c r="R14" s="1">
        <v>0</v>
      </c>
      <c r="S14" s="1">
        <v>0</v>
      </c>
      <c r="T14" s="1">
        <v>16</v>
      </c>
      <c r="U14" s="2"/>
      <c r="V14" s="1">
        <v>0</v>
      </c>
      <c r="W14" s="1">
        <v>16</v>
      </c>
      <c r="X14" s="1">
        <v>0</v>
      </c>
      <c r="Y14" s="1">
        <v>0</v>
      </c>
      <c r="Z14" s="1">
        <v>0</v>
      </c>
      <c r="AA14" s="2"/>
      <c r="AB14" s="2"/>
      <c r="AC14" s="1">
        <v>0</v>
      </c>
      <c r="AD14" s="1">
        <v>0</v>
      </c>
      <c r="AE14" s="2"/>
      <c r="AF14" s="1">
        <v>0</v>
      </c>
    </row>
    <row r="15" spans="1:32">
      <c r="A15" s="1">
        <v>13</v>
      </c>
      <c r="B15" s="1" t="s">
        <v>15</v>
      </c>
      <c r="C15" s="1">
        <f t="shared" si="0"/>
        <v>56</v>
      </c>
      <c r="D15" s="1">
        <v>0</v>
      </c>
      <c r="E15" s="1">
        <v>0</v>
      </c>
      <c r="F15" s="2"/>
      <c r="G15" s="2"/>
      <c r="H15" s="1">
        <v>0</v>
      </c>
      <c r="I15" s="1">
        <v>16</v>
      </c>
      <c r="J15" s="1">
        <v>16</v>
      </c>
      <c r="K15" s="2"/>
      <c r="L15" s="2"/>
      <c r="M15" s="2"/>
      <c r="N15" s="2"/>
      <c r="O15" s="2"/>
      <c r="P15" s="2"/>
      <c r="Q15" s="2"/>
      <c r="R15" s="1">
        <v>0</v>
      </c>
      <c r="S15" s="1">
        <v>8</v>
      </c>
      <c r="T15" s="1">
        <v>16</v>
      </c>
      <c r="U15" s="2"/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2"/>
      <c r="AB15" s="2"/>
      <c r="AC15" s="1">
        <v>0</v>
      </c>
      <c r="AD15" s="1">
        <v>0</v>
      </c>
      <c r="AE15" s="2"/>
      <c r="AF15" s="1">
        <v>0</v>
      </c>
    </row>
    <row r="16" spans="1:32">
      <c r="A16" s="1">
        <v>14</v>
      </c>
      <c r="B16" s="1" t="s">
        <v>16</v>
      </c>
      <c r="C16" s="1">
        <f t="shared" si="0"/>
        <v>40</v>
      </c>
      <c r="D16" s="1">
        <v>0</v>
      </c>
      <c r="E16" s="1">
        <v>0</v>
      </c>
      <c r="F16" s="2"/>
      <c r="G16" s="2"/>
      <c r="H16" s="1">
        <v>0</v>
      </c>
      <c r="I16" s="1">
        <v>8</v>
      </c>
      <c r="J16" s="1">
        <v>16</v>
      </c>
      <c r="K16" s="2"/>
      <c r="L16" s="2"/>
      <c r="M16" s="2"/>
      <c r="N16" s="2"/>
      <c r="O16" s="2"/>
      <c r="P16" s="2"/>
      <c r="Q16" s="2"/>
      <c r="R16" s="1">
        <v>0</v>
      </c>
      <c r="S16" s="1">
        <v>16</v>
      </c>
      <c r="T16" s="1">
        <v>0</v>
      </c>
      <c r="U16" s="2"/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2"/>
      <c r="AB16" s="2"/>
      <c r="AC16" s="1">
        <v>0</v>
      </c>
      <c r="AD16" s="1">
        <v>0</v>
      </c>
      <c r="AE16" s="2"/>
      <c r="AF16" s="1">
        <v>0</v>
      </c>
    </row>
  </sheetData>
  <mergeCells count="31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F16"/>
  <sheetViews>
    <sheetView workbookViewId="0">
      <selection activeCell="C3" sqref="C3"/>
    </sheetView>
  </sheetViews>
  <sheetFormatPr baseColWidth="10" defaultColWidth="8.83203125" defaultRowHeight="15"/>
  <cols>
    <col min="3" max="3" width="15.33203125" bestFit="1" customWidth="1"/>
    <col min="4" max="17" width="8.83203125" customWidth="1"/>
    <col min="18" max="18" width="7.83203125" customWidth="1"/>
    <col min="19" max="32" width="8.83203125" customWidth="1"/>
    <col min="34" max="34" width="0" hidden="1" customWidth="1"/>
  </cols>
  <sheetData>
    <row r="1" spans="1:32" ht="27">
      <c r="A1" s="59" t="s">
        <v>19</v>
      </c>
      <c r="B1" s="59"/>
      <c r="C1" s="43" t="s">
        <v>56</v>
      </c>
      <c r="D1" s="56">
        <v>45323</v>
      </c>
      <c r="E1" s="56">
        <v>45324</v>
      </c>
      <c r="F1" s="56">
        <v>45325</v>
      </c>
      <c r="G1" s="56">
        <v>45326</v>
      </c>
      <c r="H1" s="56">
        <v>45327</v>
      </c>
      <c r="I1" s="56">
        <v>45328</v>
      </c>
      <c r="J1" s="56">
        <v>45329</v>
      </c>
      <c r="K1" s="56">
        <v>45330</v>
      </c>
      <c r="L1" s="56">
        <v>45331</v>
      </c>
      <c r="M1" s="56">
        <v>45332</v>
      </c>
      <c r="N1" s="56">
        <v>45333</v>
      </c>
      <c r="O1" s="56">
        <v>45334</v>
      </c>
      <c r="P1" s="56">
        <v>45335</v>
      </c>
      <c r="Q1" s="56">
        <v>45336</v>
      </c>
      <c r="R1" s="56">
        <v>45337</v>
      </c>
      <c r="S1" s="56">
        <v>45338</v>
      </c>
      <c r="T1" s="56">
        <v>45339</v>
      </c>
      <c r="U1" s="56">
        <v>45340</v>
      </c>
      <c r="V1" s="56">
        <v>45341</v>
      </c>
      <c r="W1" s="56">
        <v>45342</v>
      </c>
      <c r="X1" s="56">
        <v>45343</v>
      </c>
      <c r="Y1" s="56">
        <v>45344</v>
      </c>
      <c r="Z1" s="56">
        <v>45345</v>
      </c>
      <c r="AA1" s="56">
        <v>45346</v>
      </c>
      <c r="AB1" s="56">
        <v>45347</v>
      </c>
      <c r="AC1" s="56">
        <v>45348</v>
      </c>
      <c r="AD1" s="56">
        <v>45349</v>
      </c>
      <c r="AE1" s="56">
        <v>45350</v>
      </c>
      <c r="AF1" s="56">
        <v>45351</v>
      </c>
    </row>
    <row r="2" spans="1:32">
      <c r="A2" s="1" t="s">
        <v>1</v>
      </c>
      <c r="B2" s="1" t="s">
        <v>2</v>
      </c>
      <c r="C2" s="58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</row>
    <row r="3" spans="1:32">
      <c r="A3" s="1">
        <v>1</v>
      </c>
      <c r="B3" s="1" t="s">
        <v>3</v>
      </c>
      <c r="C3" s="1">
        <f>SUM(D3:AF3)</f>
        <v>0</v>
      </c>
      <c r="D3" s="1">
        <v>0</v>
      </c>
      <c r="E3" s="1">
        <v>0</v>
      </c>
      <c r="F3" s="2"/>
      <c r="G3" s="2"/>
      <c r="H3" s="1">
        <v>0</v>
      </c>
      <c r="I3" s="1">
        <v>0</v>
      </c>
      <c r="J3" s="1">
        <v>0</v>
      </c>
      <c r="K3" s="2"/>
      <c r="L3" s="2"/>
      <c r="M3" s="2"/>
      <c r="N3" s="2"/>
      <c r="O3" s="2"/>
      <c r="P3" s="2"/>
      <c r="Q3" s="2"/>
      <c r="R3" s="1">
        <v>0</v>
      </c>
      <c r="S3" s="1">
        <v>0</v>
      </c>
      <c r="T3" s="1">
        <v>0</v>
      </c>
      <c r="U3" s="2"/>
      <c r="V3" s="1">
        <v>0</v>
      </c>
      <c r="W3" s="1">
        <v>0</v>
      </c>
      <c r="X3" s="1">
        <v>0</v>
      </c>
      <c r="Y3" s="1">
        <v>0</v>
      </c>
      <c r="Z3" s="1">
        <v>0</v>
      </c>
      <c r="AA3" s="2"/>
      <c r="AB3" s="2"/>
      <c r="AC3" s="1">
        <v>0</v>
      </c>
      <c r="AD3" s="1">
        <v>0</v>
      </c>
      <c r="AE3" s="2"/>
      <c r="AF3" s="1">
        <v>0</v>
      </c>
    </row>
    <row r="4" spans="1:32">
      <c r="A4" s="1">
        <v>2</v>
      </c>
      <c r="B4" s="1" t="s">
        <v>4</v>
      </c>
      <c r="C4" s="1">
        <f t="shared" ref="C4:C16" si="0">SUM(D4:AF4)</f>
        <v>0</v>
      </c>
      <c r="D4" s="1">
        <v>0</v>
      </c>
      <c r="E4" s="1">
        <v>0</v>
      </c>
      <c r="F4" s="2"/>
      <c r="G4" s="2"/>
      <c r="H4" s="1">
        <v>0</v>
      </c>
      <c r="I4" s="1">
        <v>0</v>
      </c>
      <c r="J4" s="1">
        <v>0</v>
      </c>
      <c r="K4" s="2"/>
      <c r="L4" s="2"/>
      <c r="M4" s="2"/>
      <c r="N4" s="2"/>
      <c r="O4" s="2"/>
      <c r="P4" s="2"/>
      <c r="Q4" s="2"/>
      <c r="R4" s="1">
        <v>0</v>
      </c>
      <c r="S4" s="1">
        <v>0</v>
      </c>
      <c r="T4" s="1">
        <v>0</v>
      </c>
      <c r="U4" s="2"/>
      <c r="V4" s="1">
        <v>0</v>
      </c>
      <c r="W4" s="1">
        <v>0</v>
      </c>
      <c r="X4" s="1">
        <v>0</v>
      </c>
      <c r="Y4" s="1">
        <v>0</v>
      </c>
      <c r="Z4" s="1">
        <v>0</v>
      </c>
      <c r="AA4" s="2"/>
      <c r="AB4" s="2"/>
      <c r="AC4" s="1">
        <v>0</v>
      </c>
      <c r="AD4" s="1">
        <v>0</v>
      </c>
      <c r="AE4" s="2"/>
      <c r="AF4" s="1">
        <v>0</v>
      </c>
    </row>
    <row r="5" spans="1:32">
      <c r="A5" s="1">
        <v>3</v>
      </c>
      <c r="B5" s="1" t="s">
        <v>5</v>
      </c>
      <c r="C5" s="1">
        <f t="shared" si="0"/>
        <v>0</v>
      </c>
      <c r="D5" s="1">
        <v>0</v>
      </c>
      <c r="E5" s="1">
        <v>0</v>
      </c>
      <c r="F5" s="2"/>
      <c r="G5" s="2"/>
      <c r="H5" s="1">
        <v>0</v>
      </c>
      <c r="I5" s="1">
        <v>0</v>
      </c>
      <c r="J5" s="1">
        <v>0</v>
      </c>
      <c r="K5" s="2"/>
      <c r="L5" s="2"/>
      <c r="M5" s="2"/>
      <c r="N5" s="2"/>
      <c r="O5" s="2"/>
      <c r="P5" s="2"/>
      <c r="Q5" s="2"/>
      <c r="R5" s="1">
        <v>0</v>
      </c>
      <c r="S5" s="1">
        <v>0</v>
      </c>
      <c r="T5" s="1">
        <v>0</v>
      </c>
      <c r="U5" s="2"/>
      <c r="V5" s="1">
        <v>0</v>
      </c>
      <c r="W5" s="1">
        <v>0</v>
      </c>
      <c r="X5" s="1">
        <v>0</v>
      </c>
      <c r="Y5" s="1">
        <v>0</v>
      </c>
      <c r="Z5" s="1">
        <v>0</v>
      </c>
      <c r="AA5" s="2"/>
      <c r="AB5" s="2"/>
      <c r="AC5" s="1">
        <v>0</v>
      </c>
      <c r="AD5" s="1">
        <v>0</v>
      </c>
      <c r="AE5" s="2"/>
      <c r="AF5" s="1">
        <v>0</v>
      </c>
    </row>
    <row r="6" spans="1:32">
      <c r="A6" s="1">
        <v>4</v>
      </c>
      <c r="B6" s="1" t="s">
        <v>6</v>
      </c>
      <c r="C6" s="1">
        <f t="shared" si="0"/>
        <v>0</v>
      </c>
      <c r="D6" s="1">
        <v>0</v>
      </c>
      <c r="E6" s="1">
        <v>0</v>
      </c>
      <c r="F6" s="2"/>
      <c r="G6" s="2"/>
      <c r="H6" s="1">
        <v>0</v>
      </c>
      <c r="I6" s="1">
        <v>0</v>
      </c>
      <c r="J6" s="1">
        <v>0</v>
      </c>
      <c r="K6" s="2"/>
      <c r="L6" s="2"/>
      <c r="M6" s="2"/>
      <c r="N6" s="2"/>
      <c r="O6" s="2"/>
      <c r="P6" s="2"/>
      <c r="Q6" s="2"/>
      <c r="R6" s="1">
        <v>0</v>
      </c>
      <c r="S6" s="1">
        <v>0</v>
      </c>
      <c r="T6" s="1">
        <v>0</v>
      </c>
      <c r="U6" s="2"/>
      <c r="V6" s="1">
        <v>0</v>
      </c>
      <c r="W6" s="1">
        <v>0</v>
      </c>
      <c r="X6" s="1">
        <v>0</v>
      </c>
      <c r="Y6" s="1">
        <v>0</v>
      </c>
      <c r="Z6" s="1">
        <v>0</v>
      </c>
      <c r="AA6" s="2"/>
      <c r="AB6" s="2"/>
      <c r="AC6" s="1">
        <v>0</v>
      </c>
      <c r="AD6" s="1">
        <v>0</v>
      </c>
      <c r="AE6" s="2"/>
      <c r="AF6" s="1">
        <v>0</v>
      </c>
    </row>
    <row r="7" spans="1:32">
      <c r="A7" s="1">
        <v>5</v>
      </c>
      <c r="B7" s="1" t="s">
        <v>7</v>
      </c>
      <c r="C7" s="1">
        <f t="shared" si="0"/>
        <v>0</v>
      </c>
      <c r="D7" s="1">
        <v>0</v>
      </c>
      <c r="E7" s="1">
        <v>0</v>
      </c>
      <c r="F7" s="2"/>
      <c r="G7" s="2"/>
      <c r="H7" s="1">
        <v>0</v>
      </c>
      <c r="I7" s="1">
        <v>0</v>
      </c>
      <c r="J7" s="1">
        <v>0</v>
      </c>
      <c r="K7" s="2"/>
      <c r="L7" s="2"/>
      <c r="M7" s="2"/>
      <c r="N7" s="2"/>
      <c r="O7" s="2"/>
      <c r="P7" s="2"/>
      <c r="Q7" s="2"/>
      <c r="R7" s="1">
        <v>0</v>
      </c>
      <c r="S7" s="1">
        <v>0</v>
      </c>
      <c r="T7" s="1">
        <v>0</v>
      </c>
      <c r="U7" s="2"/>
      <c r="V7" s="1">
        <v>0</v>
      </c>
      <c r="W7" s="1">
        <v>0</v>
      </c>
      <c r="X7" s="1">
        <v>0</v>
      </c>
      <c r="Y7" s="1">
        <v>0</v>
      </c>
      <c r="Z7" s="1">
        <v>0</v>
      </c>
      <c r="AA7" s="2"/>
      <c r="AB7" s="2"/>
      <c r="AC7" s="1">
        <v>0</v>
      </c>
      <c r="AD7" s="1">
        <v>0</v>
      </c>
      <c r="AE7" s="2"/>
      <c r="AF7" s="1">
        <v>0</v>
      </c>
    </row>
    <row r="8" spans="1:32">
      <c r="A8" s="1">
        <v>6</v>
      </c>
      <c r="B8" s="1" t="s">
        <v>8</v>
      </c>
      <c r="C8" s="1">
        <f t="shared" si="0"/>
        <v>12</v>
      </c>
      <c r="D8" s="1">
        <v>1</v>
      </c>
      <c r="E8" s="1">
        <v>0</v>
      </c>
      <c r="F8" s="2"/>
      <c r="G8" s="2"/>
      <c r="H8" s="1">
        <v>1</v>
      </c>
      <c r="I8" s="1">
        <v>0</v>
      </c>
      <c r="J8" s="1">
        <v>0</v>
      </c>
      <c r="K8" s="2"/>
      <c r="L8" s="2"/>
      <c r="M8" s="2"/>
      <c r="N8" s="2"/>
      <c r="O8" s="2"/>
      <c r="P8" s="2"/>
      <c r="Q8" s="2"/>
      <c r="R8" s="1">
        <v>1</v>
      </c>
      <c r="S8" s="1">
        <v>1</v>
      </c>
      <c r="T8" s="1">
        <v>0</v>
      </c>
      <c r="U8" s="2"/>
      <c r="V8" s="1">
        <v>1</v>
      </c>
      <c r="W8" s="1">
        <v>0</v>
      </c>
      <c r="X8" s="1">
        <v>2</v>
      </c>
      <c r="Y8" s="1">
        <v>1</v>
      </c>
      <c r="Z8" s="1">
        <v>0</v>
      </c>
      <c r="AA8" s="2"/>
      <c r="AB8" s="2"/>
      <c r="AC8" s="1">
        <v>2</v>
      </c>
      <c r="AD8" s="1">
        <v>1</v>
      </c>
      <c r="AE8" s="2"/>
      <c r="AF8" s="1">
        <v>1</v>
      </c>
    </row>
    <row r="9" spans="1:32">
      <c r="A9" s="1">
        <v>7</v>
      </c>
      <c r="B9" s="1" t="s">
        <v>9</v>
      </c>
      <c r="C9" s="1">
        <f t="shared" si="0"/>
        <v>37</v>
      </c>
      <c r="D9" s="1">
        <v>6</v>
      </c>
      <c r="E9" s="1">
        <v>0</v>
      </c>
      <c r="F9" s="2"/>
      <c r="G9" s="2"/>
      <c r="H9" s="1">
        <v>0</v>
      </c>
      <c r="I9" s="1">
        <v>0</v>
      </c>
      <c r="J9" s="1">
        <v>0</v>
      </c>
      <c r="K9" s="2"/>
      <c r="L9" s="2"/>
      <c r="M9" s="2"/>
      <c r="N9" s="2"/>
      <c r="O9" s="2"/>
      <c r="P9" s="2"/>
      <c r="Q9" s="2"/>
      <c r="R9" s="1">
        <v>1</v>
      </c>
      <c r="S9" s="1">
        <v>6</v>
      </c>
      <c r="T9" s="1">
        <v>0</v>
      </c>
      <c r="U9" s="2"/>
      <c r="V9" s="1">
        <v>0</v>
      </c>
      <c r="W9" s="1">
        <v>6</v>
      </c>
      <c r="X9" s="1">
        <v>7</v>
      </c>
      <c r="Y9" s="1">
        <v>1</v>
      </c>
      <c r="Z9" s="1">
        <v>1</v>
      </c>
      <c r="AA9" s="2"/>
      <c r="AB9" s="2"/>
      <c r="AC9" s="1">
        <v>1</v>
      </c>
      <c r="AD9" s="1">
        <v>1</v>
      </c>
      <c r="AE9" s="2"/>
      <c r="AF9" s="1">
        <v>7</v>
      </c>
    </row>
    <row r="10" spans="1:32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2"/>
      <c r="G10" s="2"/>
      <c r="H10" s="1">
        <v>0</v>
      </c>
      <c r="I10" s="1">
        <v>0</v>
      </c>
      <c r="J10" s="1">
        <v>0</v>
      </c>
      <c r="K10" s="2"/>
      <c r="L10" s="2"/>
      <c r="M10" s="2"/>
      <c r="N10" s="2"/>
      <c r="O10" s="2"/>
      <c r="P10" s="2"/>
      <c r="Q10" s="2"/>
      <c r="R10" s="1">
        <v>0</v>
      </c>
      <c r="S10" s="1">
        <v>0</v>
      </c>
      <c r="T10" s="1">
        <v>0</v>
      </c>
      <c r="U10" s="2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1">
        <v>0</v>
      </c>
      <c r="AD10" s="1">
        <v>0</v>
      </c>
      <c r="AE10" s="2"/>
      <c r="AF10" s="1">
        <v>0</v>
      </c>
    </row>
    <row r="11" spans="1:32">
      <c r="A11" s="1">
        <v>9</v>
      </c>
      <c r="B11" s="1" t="s">
        <v>11</v>
      </c>
      <c r="C11" s="1">
        <f t="shared" si="0"/>
        <v>1</v>
      </c>
      <c r="D11" s="1">
        <v>0</v>
      </c>
      <c r="E11" s="1">
        <v>0</v>
      </c>
      <c r="F11" s="2"/>
      <c r="G11" s="2"/>
      <c r="H11" s="1">
        <v>0</v>
      </c>
      <c r="I11" s="1">
        <v>0</v>
      </c>
      <c r="J11" s="1">
        <v>0</v>
      </c>
      <c r="K11" s="2"/>
      <c r="L11" s="2"/>
      <c r="M11" s="2"/>
      <c r="N11" s="2"/>
      <c r="O11" s="2"/>
      <c r="P11" s="2"/>
      <c r="Q11" s="2"/>
      <c r="R11" s="1">
        <v>1</v>
      </c>
      <c r="S11" s="1">
        <v>0</v>
      </c>
      <c r="T11" s="1">
        <v>0</v>
      </c>
      <c r="U11" s="2"/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2"/>
      <c r="AB11" s="2"/>
      <c r="AC11" s="1">
        <v>0</v>
      </c>
      <c r="AD11" s="1">
        <v>0</v>
      </c>
      <c r="AE11" s="2"/>
      <c r="AF11" s="1">
        <v>0</v>
      </c>
    </row>
    <row r="12" spans="1:32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2"/>
      <c r="G12" s="2"/>
      <c r="H12" s="1">
        <v>0</v>
      </c>
      <c r="I12" s="1">
        <v>0</v>
      </c>
      <c r="J12" s="1">
        <v>0</v>
      </c>
      <c r="K12" s="2"/>
      <c r="L12" s="2"/>
      <c r="M12" s="2"/>
      <c r="N12" s="2"/>
      <c r="O12" s="2"/>
      <c r="P12" s="2"/>
      <c r="Q12" s="2"/>
      <c r="R12" s="1">
        <v>0</v>
      </c>
      <c r="S12" s="1">
        <v>0</v>
      </c>
      <c r="T12" s="1">
        <v>0</v>
      </c>
      <c r="U12" s="2"/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1">
        <v>0</v>
      </c>
      <c r="AD12" s="1">
        <v>0</v>
      </c>
      <c r="AE12" s="2"/>
      <c r="AF12" s="1">
        <v>0</v>
      </c>
    </row>
    <row r="13" spans="1:32">
      <c r="A13" s="1">
        <v>11</v>
      </c>
      <c r="B13" s="1" t="s">
        <v>13</v>
      </c>
      <c r="C13" s="1">
        <f t="shared" si="0"/>
        <v>0</v>
      </c>
      <c r="D13" s="1">
        <v>0</v>
      </c>
      <c r="E13" s="1">
        <v>0</v>
      </c>
      <c r="F13" s="2"/>
      <c r="G13" s="2"/>
      <c r="H13" s="1">
        <v>0</v>
      </c>
      <c r="I13" s="1">
        <v>0</v>
      </c>
      <c r="J13" s="1">
        <v>0</v>
      </c>
      <c r="K13" s="2"/>
      <c r="L13" s="2"/>
      <c r="M13" s="2"/>
      <c r="N13" s="2"/>
      <c r="O13" s="2"/>
      <c r="P13" s="2"/>
      <c r="Q13" s="2"/>
      <c r="R13" s="1">
        <v>0</v>
      </c>
      <c r="S13" s="1">
        <v>0</v>
      </c>
      <c r="T13" s="1">
        <v>0</v>
      </c>
      <c r="U13" s="2"/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2"/>
      <c r="AB13" s="2"/>
      <c r="AC13" s="1">
        <v>0</v>
      </c>
      <c r="AD13" s="1">
        <v>0</v>
      </c>
      <c r="AE13" s="2"/>
      <c r="AF13" s="1">
        <v>0</v>
      </c>
    </row>
    <row r="14" spans="1:32">
      <c r="A14" s="1">
        <v>12</v>
      </c>
      <c r="B14" s="1" t="s">
        <v>14</v>
      </c>
      <c r="C14" s="1">
        <f t="shared" si="0"/>
        <v>32</v>
      </c>
      <c r="D14" s="1">
        <v>0</v>
      </c>
      <c r="E14" s="1">
        <v>0</v>
      </c>
      <c r="F14" s="2"/>
      <c r="G14" s="2"/>
      <c r="H14" s="1">
        <v>6</v>
      </c>
      <c r="I14" s="1">
        <v>0</v>
      </c>
      <c r="J14" s="1">
        <v>0</v>
      </c>
      <c r="K14" s="2"/>
      <c r="L14" s="2"/>
      <c r="M14" s="2"/>
      <c r="N14" s="2"/>
      <c r="O14" s="2"/>
      <c r="P14" s="2"/>
      <c r="Q14" s="2"/>
      <c r="R14" s="1">
        <v>4</v>
      </c>
      <c r="S14" s="1">
        <v>6</v>
      </c>
      <c r="T14" s="1">
        <v>0</v>
      </c>
      <c r="U14" s="2"/>
      <c r="V14" s="1">
        <v>16</v>
      </c>
      <c r="W14" s="1">
        <v>0</v>
      </c>
      <c r="X14" s="1">
        <v>0</v>
      </c>
      <c r="Y14" s="1">
        <v>0</v>
      </c>
      <c r="Z14" s="1">
        <v>0</v>
      </c>
      <c r="AA14" s="2"/>
      <c r="AB14" s="2"/>
      <c r="AC14" s="1">
        <v>0</v>
      </c>
      <c r="AD14" s="1">
        <v>0</v>
      </c>
      <c r="AE14" s="2"/>
      <c r="AF14" s="1">
        <v>0</v>
      </c>
    </row>
    <row r="15" spans="1:32">
      <c r="A15" s="1">
        <v>13</v>
      </c>
      <c r="B15" s="1" t="s">
        <v>15</v>
      </c>
      <c r="C15" s="1">
        <f t="shared" si="0"/>
        <v>8</v>
      </c>
      <c r="D15" s="1">
        <v>0</v>
      </c>
      <c r="E15" s="1">
        <v>0</v>
      </c>
      <c r="F15" s="2"/>
      <c r="G15" s="2"/>
      <c r="H15" s="1">
        <v>0</v>
      </c>
      <c r="I15" s="1">
        <v>0</v>
      </c>
      <c r="J15" s="1">
        <v>0</v>
      </c>
      <c r="K15" s="2"/>
      <c r="L15" s="2"/>
      <c r="M15" s="2"/>
      <c r="N15" s="2"/>
      <c r="O15" s="2"/>
      <c r="P15" s="2"/>
      <c r="Q15" s="2"/>
      <c r="R15" s="1">
        <v>2</v>
      </c>
      <c r="S15" s="1">
        <v>0</v>
      </c>
      <c r="T15" s="1">
        <v>0</v>
      </c>
      <c r="U15" s="2"/>
      <c r="V15" s="1">
        <v>0</v>
      </c>
      <c r="W15" s="1">
        <v>0</v>
      </c>
      <c r="X15" s="1">
        <v>6</v>
      </c>
      <c r="Y15" s="1">
        <v>0</v>
      </c>
      <c r="Z15" s="1">
        <v>0</v>
      </c>
      <c r="AA15" s="2"/>
      <c r="AB15" s="2"/>
      <c r="AC15" s="1">
        <v>0</v>
      </c>
      <c r="AD15" s="1">
        <v>0</v>
      </c>
      <c r="AE15" s="2"/>
      <c r="AF15" s="1">
        <v>0</v>
      </c>
    </row>
    <row r="16" spans="1:32">
      <c r="A16" s="1">
        <v>14</v>
      </c>
      <c r="B16" s="1" t="s">
        <v>16</v>
      </c>
      <c r="C16" s="1">
        <f t="shared" si="0"/>
        <v>12</v>
      </c>
      <c r="D16" s="1">
        <v>0</v>
      </c>
      <c r="E16" s="1">
        <v>0</v>
      </c>
      <c r="F16" s="2"/>
      <c r="G16" s="2"/>
      <c r="H16" s="1">
        <v>0</v>
      </c>
      <c r="I16" s="1">
        <v>0</v>
      </c>
      <c r="J16" s="1">
        <v>0</v>
      </c>
      <c r="K16" s="2"/>
      <c r="L16" s="2"/>
      <c r="M16" s="2"/>
      <c r="N16" s="2"/>
      <c r="O16" s="2"/>
      <c r="P16" s="2"/>
      <c r="Q16" s="2"/>
      <c r="R16" s="1">
        <v>0</v>
      </c>
      <c r="S16" s="1">
        <v>0</v>
      </c>
      <c r="T16" s="1">
        <v>0</v>
      </c>
      <c r="U16" s="2"/>
      <c r="V16" s="1">
        <v>0</v>
      </c>
      <c r="W16" s="1">
        <v>0</v>
      </c>
      <c r="X16" s="1">
        <v>6</v>
      </c>
      <c r="Y16" s="1">
        <v>0</v>
      </c>
      <c r="Z16" s="1">
        <v>0</v>
      </c>
      <c r="AA16" s="2"/>
      <c r="AB16" s="2"/>
      <c r="AC16" s="1">
        <v>0</v>
      </c>
      <c r="AD16" s="1">
        <v>6</v>
      </c>
      <c r="AE16" s="2"/>
      <c r="AF16" s="1">
        <v>0</v>
      </c>
    </row>
  </sheetData>
  <mergeCells count="31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9"/>
  <sheetViews>
    <sheetView workbookViewId="0">
      <selection activeCell="AE3" sqref="AE3:AE16"/>
    </sheetView>
  </sheetViews>
  <sheetFormatPr baseColWidth="10" defaultColWidth="8.83203125" defaultRowHeight="15"/>
  <cols>
    <col min="3" max="11" width="8.83203125" hidden="1" customWidth="1"/>
    <col min="12" max="12" width="13.83203125" hidden="1" customWidth="1"/>
    <col min="13" max="30" width="8.83203125" hidden="1" customWidth="1"/>
    <col min="31" max="32" width="8.83203125" customWidth="1"/>
  </cols>
  <sheetData>
    <row r="1" spans="1:33" ht="27">
      <c r="A1" s="55" t="s">
        <v>0</v>
      </c>
      <c r="B1" s="55"/>
      <c r="C1" s="53">
        <v>45352</v>
      </c>
      <c r="D1" s="53">
        <v>45353</v>
      </c>
      <c r="E1" s="53">
        <v>45354</v>
      </c>
      <c r="F1" s="53">
        <v>45355</v>
      </c>
      <c r="G1" s="53">
        <v>45356</v>
      </c>
      <c r="H1" s="53">
        <v>45357</v>
      </c>
      <c r="I1" s="53">
        <v>45358</v>
      </c>
      <c r="J1" s="53">
        <v>45359</v>
      </c>
      <c r="K1" s="53">
        <v>45360</v>
      </c>
      <c r="L1" s="53">
        <v>45361</v>
      </c>
      <c r="M1" s="53">
        <v>45362</v>
      </c>
      <c r="N1" s="53">
        <v>45363</v>
      </c>
      <c r="O1" s="53">
        <v>45364</v>
      </c>
      <c r="P1" s="53">
        <v>45365</v>
      </c>
      <c r="Q1" s="53">
        <v>45366</v>
      </c>
      <c r="R1" s="53">
        <v>45367</v>
      </c>
      <c r="S1" s="53">
        <v>45368</v>
      </c>
      <c r="T1" s="53">
        <v>45369</v>
      </c>
      <c r="U1" s="53">
        <v>45370</v>
      </c>
      <c r="V1" s="53">
        <v>45371</v>
      </c>
      <c r="W1" s="53">
        <v>45372</v>
      </c>
      <c r="X1" s="53">
        <v>45373</v>
      </c>
      <c r="Y1" s="53">
        <v>45374</v>
      </c>
      <c r="Z1" s="53">
        <v>45375</v>
      </c>
      <c r="AA1" s="53">
        <v>45376</v>
      </c>
      <c r="AB1" s="53">
        <v>45377</v>
      </c>
      <c r="AC1" s="53">
        <v>45378</v>
      </c>
      <c r="AD1" s="53">
        <v>45379</v>
      </c>
      <c r="AE1" s="53">
        <v>45380</v>
      </c>
      <c r="AF1" s="53">
        <v>45381</v>
      </c>
      <c r="AG1" s="53">
        <v>45382</v>
      </c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1" t="s">
        <v>26</v>
      </c>
      <c r="D3" s="2"/>
      <c r="E3" s="2"/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2"/>
      <c r="L3" s="2"/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2"/>
      <c r="S3" s="2"/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2"/>
      <c r="Z3" s="2"/>
      <c r="AA3" s="1" t="s">
        <v>26</v>
      </c>
      <c r="AB3" s="1" t="s">
        <v>26</v>
      </c>
      <c r="AC3" s="1" t="s">
        <v>26</v>
      </c>
      <c r="AD3" s="1" t="s">
        <v>26</v>
      </c>
      <c r="AE3" s="1" t="s">
        <v>26</v>
      </c>
      <c r="AF3" s="2"/>
      <c r="AG3" s="2"/>
    </row>
    <row r="4" spans="1:33">
      <c r="A4" s="1">
        <v>2</v>
      </c>
      <c r="B4" s="1" t="s">
        <v>4</v>
      </c>
      <c r="C4" s="1" t="s">
        <v>26</v>
      </c>
      <c r="D4" s="2"/>
      <c r="E4" s="2"/>
      <c r="F4" s="1" t="s">
        <v>26</v>
      </c>
      <c r="G4" s="1" t="s">
        <v>26</v>
      </c>
      <c r="H4" s="1" t="s">
        <v>26</v>
      </c>
      <c r="I4" s="1" t="s">
        <v>26</v>
      </c>
      <c r="J4" s="1" t="s">
        <v>26</v>
      </c>
      <c r="K4" s="2"/>
      <c r="L4" s="2"/>
      <c r="M4" s="1" t="s">
        <v>26</v>
      </c>
      <c r="N4" s="1" t="s">
        <v>26</v>
      </c>
      <c r="O4" s="1" t="s">
        <v>23</v>
      </c>
      <c r="P4" s="1" t="s">
        <v>26</v>
      </c>
      <c r="Q4" s="1" t="s">
        <v>26</v>
      </c>
      <c r="R4" s="2"/>
      <c r="S4" s="2"/>
      <c r="T4" s="1" t="s">
        <v>27</v>
      </c>
      <c r="U4" s="1" t="s">
        <v>27</v>
      </c>
      <c r="V4" s="1" t="s">
        <v>27</v>
      </c>
      <c r="W4" s="1" t="s">
        <v>27</v>
      </c>
      <c r="X4" s="1"/>
      <c r="Y4" s="2"/>
      <c r="Z4" s="2"/>
      <c r="AA4" s="1" t="s">
        <v>27</v>
      </c>
      <c r="AB4" s="1" t="s">
        <v>27</v>
      </c>
      <c r="AC4" s="1" t="s">
        <v>41</v>
      </c>
      <c r="AD4" s="1" t="s">
        <v>27</v>
      </c>
      <c r="AE4" s="1" t="s">
        <v>27</v>
      </c>
      <c r="AF4" s="2"/>
      <c r="AG4" s="2"/>
    </row>
    <row r="5" spans="1:33">
      <c r="A5" s="1">
        <v>3</v>
      </c>
      <c r="B5" s="1" t="s">
        <v>5</v>
      </c>
      <c r="C5" s="1" t="s">
        <v>116</v>
      </c>
      <c r="D5" s="9"/>
      <c r="E5" s="2"/>
      <c r="F5" s="1" t="s">
        <v>117</v>
      </c>
      <c r="G5" s="1" t="s">
        <v>27</v>
      </c>
      <c r="H5" s="1" t="s">
        <v>27</v>
      </c>
      <c r="I5" s="1" t="s">
        <v>27</v>
      </c>
      <c r="J5" s="1" t="s">
        <v>27</v>
      </c>
      <c r="K5" s="2"/>
      <c r="L5" s="2"/>
      <c r="M5" s="1" t="s">
        <v>27</v>
      </c>
      <c r="N5" s="1" t="s">
        <v>27</v>
      </c>
      <c r="O5" s="1" t="s">
        <v>27</v>
      </c>
      <c r="P5" s="1" t="s">
        <v>27</v>
      </c>
      <c r="Q5" s="1" t="s">
        <v>27</v>
      </c>
      <c r="R5" s="2"/>
      <c r="S5" s="2"/>
      <c r="T5" s="1" t="s">
        <v>27</v>
      </c>
      <c r="U5" s="1" t="s">
        <v>27</v>
      </c>
      <c r="V5" s="1" t="s">
        <v>27</v>
      </c>
      <c r="W5" s="1" t="s">
        <v>27</v>
      </c>
      <c r="X5" s="1" t="s">
        <v>132</v>
      </c>
      <c r="Y5" s="2"/>
      <c r="Z5" s="2"/>
      <c r="AA5" s="1" t="s">
        <v>27</v>
      </c>
      <c r="AB5" s="1" t="s">
        <v>27</v>
      </c>
      <c r="AC5" s="1" t="s">
        <v>27</v>
      </c>
      <c r="AD5" s="1" t="s">
        <v>27</v>
      </c>
      <c r="AE5" s="1" t="s">
        <v>27</v>
      </c>
      <c r="AF5" s="2"/>
      <c r="AG5" s="2"/>
    </row>
    <row r="6" spans="1:33">
      <c r="A6" s="1">
        <v>4</v>
      </c>
      <c r="B6" s="1" t="s">
        <v>6</v>
      </c>
      <c r="C6" s="1" t="s">
        <v>26</v>
      </c>
      <c r="D6" s="2"/>
      <c r="E6" s="2"/>
      <c r="F6" s="1" t="s">
        <v>26</v>
      </c>
      <c r="G6" s="1" t="s">
        <v>26</v>
      </c>
      <c r="H6" s="1" t="s">
        <v>26</v>
      </c>
      <c r="I6" s="1" t="s">
        <v>26</v>
      </c>
      <c r="J6" s="1" t="s">
        <v>26</v>
      </c>
      <c r="K6" s="2"/>
      <c r="L6" s="2"/>
      <c r="M6" s="1" t="s">
        <v>26</v>
      </c>
      <c r="N6" s="1" t="s">
        <v>26</v>
      </c>
      <c r="O6" s="1" t="s">
        <v>26</v>
      </c>
      <c r="P6" s="1" t="s">
        <v>26</v>
      </c>
      <c r="Q6" s="1" t="s">
        <v>26</v>
      </c>
      <c r="R6" s="2"/>
      <c r="S6" s="2"/>
      <c r="T6" s="1" t="s">
        <v>26</v>
      </c>
      <c r="U6" s="1" t="s">
        <v>27</v>
      </c>
      <c r="V6" s="1" t="s">
        <v>27</v>
      </c>
      <c r="W6" s="1" t="s">
        <v>27</v>
      </c>
      <c r="X6" s="1" t="s">
        <v>23</v>
      </c>
      <c r="Y6" s="2"/>
      <c r="Z6" s="2"/>
      <c r="AA6" s="1" t="s">
        <v>27</v>
      </c>
      <c r="AB6" s="1" t="s">
        <v>27</v>
      </c>
      <c r="AC6" s="1" t="s">
        <v>27</v>
      </c>
      <c r="AD6" s="1" t="s">
        <v>137</v>
      </c>
      <c r="AE6" s="1" t="s">
        <v>26</v>
      </c>
      <c r="AF6" s="2"/>
      <c r="AG6" s="2"/>
    </row>
    <row r="7" spans="1:33">
      <c r="A7" s="1">
        <v>5</v>
      </c>
      <c r="B7" s="1" t="s">
        <v>7</v>
      </c>
      <c r="C7" s="1" t="s">
        <v>26</v>
      </c>
      <c r="D7" s="2"/>
      <c r="E7" s="2"/>
      <c r="F7" s="1" t="s">
        <v>26</v>
      </c>
      <c r="G7" s="1" t="s">
        <v>26</v>
      </c>
      <c r="H7" s="1" t="s">
        <v>26</v>
      </c>
      <c r="I7" s="1" t="s">
        <v>26</v>
      </c>
      <c r="J7" s="1" t="s">
        <v>26</v>
      </c>
      <c r="K7" s="2"/>
      <c r="L7" s="2"/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2"/>
      <c r="S7" s="2"/>
      <c r="T7" s="1" t="s">
        <v>26</v>
      </c>
      <c r="U7" s="1" t="s">
        <v>26</v>
      </c>
      <c r="V7" s="1" t="s">
        <v>127</v>
      </c>
      <c r="W7" s="1" t="s">
        <v>127</v>
      </c>
      <c r="X7" s="1" t="s">
        <v>26</v>
      </c>
      <c r="Y7" s="2"/>
      <c r="Z7" s="2"/>
      <c r="AA7" s="1" t="s">
        <v>26</v>
      </c>
      <c r="AB7" s="1" t="s">
        <v>26</v>
      </c>
      <c r="AC7" s="1" t="s">
        <v>26</v>
      </c>
      <c r="AD7" s="1" t="s">
        <v>26</v>
      </c>
      <c r="AE7" s="1" t="s">
        <v>26</v>
      </c>
      <c r="AF7" s="2"/>
      <c r="AG7" s="2"/>
    </row>
    <row r="8" spans="1:33">
      <c r="A8" s="1">
        <v>6</v>
      </c>
      <c r="B8" s="1" t="s">
        <v>8</v>
      </c>
      <c r="C8" s="1" t="s">
        <v>27</v>
      </c>
      <c r="D8" s="9"/>
      <c r="E8" s="2"/>
      <c r="F8" s="1" t="s">
        <v>117</v>
      </c>
      <c r="G8" s="1" t="s">
        <v>27</v>
      </c>
      <c r="H8" s="1" t="s">
        <v>27</v>
      </c>
      <c r="I8" s="1" t="s">
        <v>27</v>
      </c>
      <c r="J8" s="1" t="s">
        <v>27</v>
      </c>
      <c r="K8" s="2"/>
      <c r="L8" s="2"/>
      <c r="M8" s="1" t="s">
        <v>27</v>
      </c>
      <c r="N8" s="1" t="s">
        <v>27</v>
      </c>
      <c r="O8" s="1" t="s">
        <v>27</v>
      </c>
      <c r="P8" s="1" t="s">
        <v>27</v>
      </c>
      <c r="Q8" s="1" t="s">
        <v>27</v>
      </c>
      <c r="R8" s="2"/>
      <c r="S8" s="2"/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2"/>
      <c r="Z8" s="2"/>
      <c r="AA8" s="1" t="s">
        <v>27</v>
      </c>
      <c r="AB8" s="1" t="s">
        <v>27</v>
      </c>
      <c r="AC8" s="1" t="s">
        <v>27</v>
      </c>
      <c r="AD8" s="1" t="s">
        <v>27</v>
      </c>
      <c r="AE8" s="1" t="s">
        <v>27</v>
      </c>
      <c r="AF8" s="2"/>
      <c r="AG8" s="2"/>
    </row>
    <row r="9" spans="1:33">
      <c r="A9" s="1">
        <v>7</v>
      </c>
      <c r="B9" s="1" t="s">
        <v>9</v>
      </c>
      <c r="C9" s="1" t="s">
        <v>27</v>
      </c>
      <c r="D9" s="9"/>
      <c r="E9" s="2"/>
      <c r="F9" s="1" t="s">
        <v>118</v>
      </c>
      <c r="G9" s="1" t="s">
        <v>27</v>
      </c>
      <c r="H9" s="1" t="s">
        <v>27</v>
      </c>
      <c r="I9" s="1" t="s">
        <v>27</v>
      </c>
      <c r="J9" s="1" t="s">
        <v>27</v>
      </c>
      <c r="K9" s="2"/>
      <c r="L9" s="2"/>
      <c r="M9" s="1" t="s">
        <v>27</v>
      </c>
      <c r="N9" s="1" t="s">
        <v>27</v>
      </c>
      <c r="O9" s="1" t="s">
        <v>121</v>
      </c>
      <c r="P9" s="1" t="s">
        <v>121</v>
      </c>
      <c r="Q9" s="1" t="s">
        <v>121</v>
      </c>
      <c r="R9" s="2"/>
      <c r="S9" s="2"/>
      <c r="T9" s="1" t="s">
        <v>27</v>
      </c>
      <c r="U9" s="1" t="s">
        <v>123</v>
      </c>
      <c r="V9" s="1" t="s">
        <v>125</v>
      </c>
      <c r="W9" s="1" t="s">
        <v>27</v>
      </c>
      <c r="X9" s="1" t="s">
        <v>27</v>
      </c>
      <c r="Y9" s="2"/>
      <c r="Z9" s="2"/>
      <c r="AA9" s="1" t="s">
        <v>27</v>
      </c>
      <c r="AB9" s="1" t="s">
        <v>27</v>
      </c>
      <c r="AC9" s="1" t="s">
        <v>134</v>
      </c>
      <c r="AD9" s="1" t="s">
        <v>27</v>
      </c>
      <c r="AE9" s="1" t="s">
        <v>27</v>
      </c>
      <c r="AF9" s="2"/>
      <c r="AG9" s="2"/>
    </row>
    <row r="10" spans="1:33">
      <c r="A10" s="1">
        <v>8</v>
      </c>
      <c r="B10" s="1" t="s">
        <v>10</v>
      </c>
      <c r="C10" s="1" t="s">
        <v>26</v>
      </c>
      <c r="D10" s="2"/>
      <c r="E10" s="2"/>
      <c r="F10" s="1" t="s">
        <v>26</v>
      </c>
      <c r="G10" s="1" t="s">
        <v>26</v>
      </c>
      <c r="H10" s="1" t="s">
        <v>26</v>
      </c>
      <c r="I10" s="1" t="s">
        <v>26</v>
      </c>
      <c r="J10" s="1" t="s">
        <v>26</v>
      </c>
      <c r="K10" s="2"/>
      <c r="L10" s="2"/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2"/>
      <c r="S10" s="2"/>
      <c r="T10" s="1" t="s">
        <v>26</v>
      </c>
      <c r="U10" s="1" t="s">
        <v>26</v>
      </c>
      <c r="V10" s="1" t="s">
        <v>128</v>
      </c>
      <c r="W10" s="1" t="s">
        <v>128</v>
      </c>
      <c r="X10" s="1" t="s">
        <v>26</v>
      </c>
      <c r="Y10" s="2"/>
      <c r="Z10" s="2"/>
      <c r="AA10" s="1" t="s">
        <v>26</v>
      </c>
      <c r="AB10" s="1" t="s">
        <v>26</v>
      </c>
      <c r="AC10" s="1" t="s">
        <v>26</v>
      </c>
      <c r="AD10" s="1" t="s">
        <v>26</v>
      </c>
      <c r="AE10" s="1" t="s">
        <v>26</v>
      </c>
      <c r="AF10" s="2"/>
      <c r="AG10" s="2"/>
    </row>
    <row r="11" spans="1:33">
      <c r="A11" s="1">
        <v>9</v>
      </c>
      <c r="B11" s="1" t="s">
        <v>11</v>
      </c>
      <c r="C11" s="1" t="s">
        <v>26</v>
      </c>
      <c r="D11" s="2"/>
      <c r="E11" s="2"/>
      <c r="F11" s="1" t="s">
        <v>26</v>
      </c>
      <c r="G11" s="1" t="s">
        <v>26</v>
      </c>
      <c r="H11" s="1" t="s">
        <v>26</v>
      </c>
      <c r="I11" s="1" t="s">
        <v>26</v>
      </c>
      <c r="J11" s="1" t="s">
        <v>26</v>
      </c>
      <c r="K11" s="2"/>
      <c r="L11" s="2"/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2"/>
      <c r="S11" s="2"/>
      <c r="T11" s="1" t="s">
        <v>26</v>
      </c>
      <c r="U11" s="1" t="s">
        <v>26</v>
      </c>
      <c r="V11" s="1" t="s">
        <v>128</v>
      </c>
      <c r="W11" s="1" t="s">
        <v>128</v>
      </c>
      <c r="X11" s="1" t="s">
        <v>26</v>
      </c>
      <c r="Y11" s="2"/>
      <c r="Z11" s="2"/>
      <c r="AA11" s="1" t="s">
        <v>26</v>
      </c>
      <c r="AB11" s="1" t="s">
        <v>26</v>
      </c>
      <c r="AC11" s="1" t="s">
        <v>26</v>
      </c>
      <c r="AD11" s="1" t="s">
        <v>26</v>
      </c>
      <c r="AE11" s="1" t="s">
        <v>26</v>
      </c>
      <c r="AF11" s="2"/>
      <c r="AG11" s="2"/>
    </row>
    <row r="12" spans="1:33">
      <c r="A12" s="1">
        <v>10</v>
      </c>
      <c r="B12" s="1" t="s">
        <v>12</v>
      </c>
      <c r="C12" s="1" t="s">
        <v>26</v>
      </c>
      <c r="D12" s="2"/>
      <c r="E12" s="2"/>
      <c r="F12" s="1" t="s">
        <v>114</v>
      </c>
      <c r="G12" s="1" t="s">
        <v>114</v>
      </c>
      <c r="H12" s="1" t="s">
        <v>114</v>
      </c>
      <c r="I12" s="1" t="s">
        <v>114</v>
      </c>
      <c r="J12" s="1" t="s">
        <v>114</v>
      </c>
      <c r="K12" s="2"/>
      <c r="L12" s="2"/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2"/>
      <c r="S12" s="2"/>
      <c r="T12" s="1" t="s">
        <v>26</v>
      </c>
      <c r="U12" s="1" t="s">
        <v>124</v>
      </c>
      <c r="V12" s="1" t="s">
        <v>126</v>
      </c>
      <c r="W12" s="1" t="s">
        <v>129</v>
      </c>
      <c r="X12" s="1" t="s">
        <v>133</v>
      </c>
      <c r="Y12" s="2"/>
      <c r="Z12" s="2"/>
      <c r="AA12" s="1" t="s">
        <v>27</v>
      </c>
      <c r="AB12" s="1" t="s">
        <v>27</v>
      </c>
      <c r="AC12" s="1" t="s">
        <v>27</v>
      </c>
      <c r="AD12" s="1" t="s">
        <v>27</v>
      </c>
      <c r="AE12" s="1" t="s">
        <v>26</v>
      </c>
      <c r="AF12" s="2"/>
      <c r="AG12" s="2"/>
    </row>
    <row r="13" spans="1:33">
      <c r="A13" s="1">
        <v>11</v>
      </c>
      <c r="B13" s="1" t="s">
        <v>13</v>
      </c>
      <c r="C13" s="1" t="s">
        <v>27</v>
      </c>
      <c r="D13" s="2"/>
      <c r="E13" s="2"/>
      <c r="F13" s="1" t="s">
        <v>117</v>
      </c>
      <c r="G13" s="1" t="s">
        <v>119</v>
      </c>
      <c r="H13" s="1" t="s">
        <v>114</v>
      </c>
      <c r="I13" s="1" t="s">
        <v>114</v>
      </c>
      <c r="J13" s="1" t="s">
        <v>114</v>
      </c>
      <c r="K13" s="2"/>
      <c r="L13" s="2"/>
      <c r="M13" s="1" t="s">
        <v>26</v>
      </c>
      <c r="N13" s="1" t="s">
        <v>26</v>
      </c>
      <c r="O13" s="1" t="s">
        <v>26</v>
      </c>
      <c r="P13" s="1" t="s">
        <v>26</v>
      </c>
      <c r="Q13" s="1" t="s">
        <v>26</v>
      </c>
      <c r="R13" s="2"/>
      <c r="S13" s="2"/>
      <c r="T13" s="1" t="s">
        <v>26</v>
      </c>
      <c r="U13" s="1" t="s">
        <v>26</v>
      </c>
      <c r="V13" s="1" t="s">
        <v>26</v>
      </c>
      <c r="W13" s="1" t="s">
        <v>26</v>
      </c>
      <c r="X13" s="1" t="s">
        <v>26</v>
      </c>
      <c r="Y13" s="2"/>
      <c r="Z13" s="2"/>
      <c r="AA13" s="1" t="s">
        <v>26</v>
      </c>
      <c r="AB13" s="1" t="s">
        <v>26</v>
      </c>
      <c r="AC13" s="1" t="s">
        <v>26</v>
      </c>
      <c r="AD13" s="1" t="s">
        <v>26</v>
      </c>
      <c r="AE13" s="1" t="s">
        <v>26</v>
      </c>
      <c r="AF13" s="2"/>
      <c r="AG13" s="2"/>
    </row>
    <row r="14" spans="1:33">
      <c r="A14" s="1">
        <v>12</v>
      </c>
      <c r="B14" s="1" t="s">
        <v>14</v>
      </c>
      <c r="C14" s="1" t="s">
        <v>26</v>
      </c>
      <c r="D14" s="2"/>
      <c r="E14" s="2"/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2"/>
      <c r="L14" s="2"/>
      <c r="M14" s="1" t="s">
        <v>120</v>
      </c>
      <c r="N14" s="1" t="s">
        <v>120</v>
      </c>
      <c r="O14" s="1" t="s">
        <v>122</v>
      </c>
      <c r="P14" s="1" t="s">
        <v>122</v>
      </c>
      <c r="Q14" s="1" t="s">
        <v>122</v>
      </c>
      <c r="R14" s="2"/>
      <c r="S14" s="2"/>
      <c r="T14" s="1" t="s">
        <v>27</v>
      </c>
      <c r="U14" s="1" t="s">
        <v>27</v>
      </c>
      <c r="V14" s="1" t="s">
        <v>26</v>
      </c>
      <c r="W14" s="1" t="s">
        <v>131</v>
      </c>
      <c r="X14" s="1" t="s">
        <v>27</v>
      </c>
      <c r="Y14" s="2"/>
      <c r="Z14" s="2"/>
      <c r="AA14" s="1" t="s">
        <v>26</v>
      </c>
      <c r="AB14" s="1" t="s">
        <v>26</v>
      </c>
      <c r="AC14" s="1" t="s">
        <v>26</v>
      </c>
      <c r="AD14" s="1" t="s">
        <v>26</v>
      </c>
      <c r="AE14" s="1" t="s">
        <v>26</v>
      </c>
      <c r="AF14" s="2"/>
      <c r="AG14" s="2"/>
    </row>
    <row r="15" spans="1:33">
      <c r="A15" s="1">
        <v>13</v>
      </c>
      <c r="B15" s="1" t="s">
        <v>15</v>
      </c>
      <c r="C15" s="1" t="s">
        <v>26</v>
      </c>
      <c r="D15" s="2"/>
      <c r="E15" s="2"/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2"/>
      <c r="L15" s="2"/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2"/>
      <c r="S15" s="2"/>
      <c r="T15" s="1" t="s">
        <v>26</v>
      </c>
      <c r="U15" s="1" t="s">
        <v>27</v>
      </c>
      <c r="V15" s="1" t="s">
        <v>27</v>
      </c>
      <c r="W15" s="1" t="s">
        <v>130</v>
      </c>
      <c r="X15" s="1" t="s">
        <v>27</v>
      </c>
      <c r="Y15" s="2"/>
      <c r="Z15" s="2"/>
      <c r="AA15" s="1" t="s">
        <v>27</v>
      </c>
      <c r="AB15" s="1" t="s">
        <v>27</v>
      </c>
      <c r="AC15" s="1" t="s">
        <v>27</v>
      </c>
      <c r="AD15" s="1" t="s">
        <v>27</v>
      </c>
      <c r="AE15" s="1" t="s">
        <v>27</v>
      </c>
      <c r="AF15" s="2"/>
      <c r="AG15" s="2"/>
    </row>
    <row r="16" spans="1:33">
      <c r="A16" s="1">
        <v>14</v>
      </c>
      <c r="B16" s="1" t="s">
        <v>16</v>
      </c>
      <c r="C16" s="1" t="s">
        <v>26</v>
      </c>
      <c r="D16" s="2"/>
      <c r="E16" s="2"/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2"/>
      <c r="L16" s="2"/>
      <c r="M16" s="1" t="s">
        <v>26</v>
      </c>
      <c r="N16" s="1" t="s">
        <v>26</v>
      </c>
      <c r="O16" s="1" t="s">
        <v>26</v>
      </c>
      <c r="P16" s="1" t="s">
        <v>26</v>
      </c>
      <c r="Q16" s="1" t="s">
        <v>26</v>
      </c>
      <c r="R16" s="2"/>
      <c r="S16" s="2"/>
      <c r="T16" s="1" t="s">
        <v>26</v>
      </c>
      <c r="U16" s="1" t="s">
        <v>26</v>
      </c>
      <c r="V16" s="1" t="s">
        <v>26</v>
      </c>
      <c r="W16" s="1" t="s">
        <v>26</v>
      </c>
      <c r="X16" s="1" t="s">
        <v>26</v>
      </c>
      <c r="Y16" s="2"/>
      <c r="Z16" s="2"/>
      <c r="AA16" s="1" t="s">
        <v>26</v>
      </c>
      <c r="AB16" s="1" t="s">
        <v>26</v>
      </c>
      <c r="AC16" s="1" t="s">
        <v>26</v>
      </c>
      <c r="AD16" s="1" t="s">
        <v>26</v>
      </c>
      <c r="AE16" s="1" t="s">
        <v>26</v>
      </c>
      <c r="AF16" s="2"/>
      <c r="AG16" s="2"/>
    </row>
    <row r="17" spans="1:2">
      <c r="A17" s="5" t="s">
        <v>27</v>
      </c>
      <c r="B17" t="s">
        <v>24</v>
      </c>
    </row>
    <row r="18" spans="1:2">
      <c r="A18" s="4" t="s">
        <v>135</v>
      </c>
      <c r="B18" t="s">
        <v>25</v>
      </c>
    </row>
    <row r="19" spans="1:2">
      <c r="A19" s="8" t="s">
        <v>136</v>
      </c>
      <c r="B19" s="7" t="s">
        <v>40</v>
      </c>
    </row>
  </sheetData>
  <mergeCells count="32">
    <mergeCell ref="AG1:AG2"/>
    <mergeCell ref="AE1:AE2"/>
    <mergeCell ref="AF1:AF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G1:G2"/>
    <mergeCell ref="A1:B1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H16"/>
  <sheetViews>
    <sheetView workbookViewId="0">
      <selection activeCell="C1" sqref="C1:AG1048576"/>
    </sheetView>
  </sheetViews>
  <sheetFormatPr baseColWidth="10" defaultColWidth="8.83203125" defaultRowHeight="15"/>
  <cols>
    <col min="3" max="3" width="15.33203125" bestFit="1" customWidth="1"/>
    <col min="4" max="8" width="8.83203125" customWidth="1"/>
    <col min="9" max="9" width="9.1640625" customWidth="1"/>
    <col min="10" max="34" width="8.83203125" customWidth="1"/>
  </cols>
  <sheetData>
    <row r="1" spans="1:34" ht="27">
      <c r="A1" s="57" t="s">
        <v>17</v>
      </c>
      <c r="B1" s="57"/>
      <c r="C1" s="43" t="s">
        <v>115</v>
      </c>
      <c r="D1" s="56">
        <v>45352</v>
      </c>
      <c r="E1" s="56">
        <v>45353</v>
      </c>
      <c r="F1" s="56">
        <v>45354</v>
      </c>
      <c r="G1" s="56">
        <v>45355</v>
      </c>
      <c r="H1" s="56">
        <v>45356</v>
      </c>
      <c r="I1" s="56">
        <v>45357</v>
      </c>
      <c r="J1" s="56">
        <v>45358</v>
      </c>
      <c r="K1" s="56">
        <v>45359</v>
      </c>
      <c r="L1" s="56">
        <v>45360</v>
      </c>
      <c r="M1" s="56">
        <v>45361</v>
      </c>
      <c r="N1" s="56">
        <v>45362</v>
      </c>
      <c r="O1" s="56">
        <v>45363</v>
      </c>
      <c r="P1" s="56">
        <v>45364</v>
      </c>
      <c r="Q1" s="56">
        <v>45365</v>
      </c>
      <c r="R1" s="56">
        <v>45366</v>
      </c>
      <c r="S1" s="56">
        <v>45367</v>
      </c>
      <c r="T1" s="56">
        <v>45368</v>
      </c>
      <c r="U1" s="56">
        <v>45369</v>
      </c>
      <c r="V1" s="56">
        <v>45370</v>
      </c>
      <c r="W1" s="56">
        <v>45371</v>
      </c>
      <c r="X1" s="56">
        <v>45372</v>
      </c>
      <c r="Y1" s="56">
        <v>45373</v>
      </c>
      <c r="Z1" s="56">
        <v>45374</v>
      </c>
      <c r="AA1" s="56">
        <v>45375</v>
      </c>
      <c r="AB1" s="56">
        <v>45376</v>
      </c>
      <c r="AC1" s="56">
        <v>45377</v>
      </c>
      <c r="AD1" s="56">
        <v>45378</v>
      </c>
      <c r="AE1" s="56">
        <v>45379</v>
      </c>
      <c r="AF1" s="56">
        <v>45380</v>
      </c>
      <c r="AG1" s="56">
        <v>45381</v>
      </c>
      <c r="AH1" s="56">
        <v>45382</v>
      </c>
    </row>
    <row r="2" spans="1:34">
      <c r="A2" s="1" t="s">
        <v>1</v>
      </c>
      <c r="B2" s="1" t="s">
        <v>2</v>
      </c>
      <c r="C2" s="58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spans="1:34">
      <c r="A3" s="1">
        <v>1</v>
      </c>
      <c r="B3" s="1" t="s">
        <v>3</v>
      </c>
      <c r="C3" s="1">
        <f t="shared" ref="C3:C16" si="0">SUM(D3:AH3)</f>
        <v>0</v>
      </c>
      <c r="D3" s="1">
        <v>0</v>
      </c>
      <c r="E3" s="2"/>
      <c r="F3" s="2"/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2"/>
      <c r="N3" s="1">
        <v>0</v>
      </c>
      <c r="O3" s="1">
        <v>0</v>
      </c>
      <c r="P3" s="1">
        <v>0</v>
      </c>
      <c r="Q3" s="1">
        <v>0</v>
      </c>
      <c r="R3" s="1">
        <v>0</v>
      </c>
      <c r="S3" s="2"/>
      <c r="T3" s="2"/>
      <c r="U3" s="1">
        <v>0</v>
      </c>
      <c r="V3" s="1">
        <v>0</v>
      </c>
      <c r="W3" s="1">
        <v>0</v>
      </c>
      <c r="X3" s="1">
        <v>0</v>
      </c>
      <c r="Y3" s="1">
        <v>0</v>
      </c>
      <c r="Z3" s="2"/>
      <c r="AA3" s="2"/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2"/>
      <c r="AH3" s="2"/>
    </row>
    <row r="4" spans="1:34">
      <c r="A4" s="1">
        <v>2</v>
      </c>
      <c r="B4" s="1" t="s">
        <v>4</v>
      </c>
      <c r="C4" s="1">
        <f t="shared" si="0"/>
        <v>17</v>
      </c>
      <c r="D4" s="1">
        <v>0</v>
      </c>
      <c r="E4" s="2"/>
      <c r="F4" s="2"/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2"/>
      <c r="N4" s="1">
        <v>0</v>
      </c>
      <c r="O4" s="1">
        <v>0</v>
      </c>
      <c r="P4" s="1">
        <v>16</v>
      </c>
      <c r="Q4" s="1">
        <v>0</v>
      </c>
      <c r="R4" s="1">
        <v>0</v>
      </c>
      <c r="S4" s="2"/>
      <c r="T4" s="2"/>
      <c r="U4" s="1">
        <v>0</v>
      </c>
      <c r="V4" s="1">
        <v>0</v>
      </c>
      <c r="W4" s="1">
        <v>0</v>
      </c>
      <c r="X4" s="1">
        <v>0</v>
      </c>
      <c r="Y4" s="1">
        <v>0</v>
      </c>
      <c r="Z4" s="2"/>
      <c r="AA4" s="2"/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2"/>
      <c r="AH4" s="2"/>
    </row>
    <row r="5" spans="1:34">
      <c r="A5" s="1">
        <v>3</v>
      </c>
      <c r="B5" s="1" t="s">
        <v>5</v>
      </c>
      <c r="C5" s="1">
        <f t="shared" si="0"/>
        <v>38</v>
      </c>
      <c r="D5" s="1">
        <v>0</v>
      </c>
      <c r="E5" s="2"/>
      <c r="F5" s="2"/>
      <c r="G5" s="1">
        <v>0</v>
      </c>
      <c r="H5" s="1">
        <v>0</v>
      </c>
      <c r="I5" s="1">
        <v>0</v>
      </c>
      <c r="J5" s="1">
        <v>0</v>
      </c>
      <c r="K5" s="1">
        <v>0</v>
      </c>
      <c r="L5" s="2"/>
      <c r="M5" s="2"/>
      <c r="N5" s="1">
        <v>4</v>
      </c>
      <c r="O5" s="1">
        <v>2</v>
      </c>
      <c r="P5" s="1">
        <v>0</v>
      </c>
      <c r="Q5" s="1">
        <v>4</v>
      </c>
      <c r="R5" s="1">
        <v>0</v>
      </c>
      <c r="S5" s="2"/>
      <c r="T5" s="2"/>
      <c r="U5" s="1">
        <v>0</v>
      </c>
      <c r="V5" s="1">
        <v>0</v>
      </c>
      <c r="W5" s="1">
        <v>3</v>
      </c>
      <c r="X5" s="1">
        <v>5</v>
      </c>
      <c r="Y5" s="1">
        <v>16</v>
      </c>
      <c r="Z5" s="2"/>
      <c r="AA5" s="2"/>
      <c r="AB5" s="1">
        <v>0</v>
      </c>
      <c r="AC5" s="1">
        <v>0</v>
      </c>
      <c r="AD5" s="1">
        <v>0</v>
      </c>
      <c r="AE5" s="1">
        <v>4</v>
      </c>
      <c r="AF5" s="1">
        <v>0</v>
      </c>
      <c r="AG5" s="2"/>
      <c r="AH5" s="2"/>
    </row>
    <row r="6" spans="1:34">
      <c r="A6" s="1">
        <v>4</v>
      </c>
      <c r="B6" s="1" t="s">
        <v>6</v>
      </c>
      <c r="C6" s="1">
        <f t="shared" si="0"/>
        <v>32</v>
      </c>
      <c r="D6" s="1">
        <v>0</v>
      </c>
      <c r="E6" s="2"/>
      <c r="F6" s="2"/>
      <c r="G6" s="1">
        <v>0</v>
      </c>
      <c r="H6" s="1">
        <v>0</v>
      </c>
      <c r="I6" s="1">
        <v>0</v>
      </c>
      <c r="J6" s="1">
        <v>0</v>
      </c>
      <c r="K6" s="1">
        <v>0</v>
      </c>
      <c r="L6" s="2"/>
      <c r="M6" s="2"/>
      <c r="N6" s="1">
        <v>0</v>
      </c>
      <c r="O6" s="1">
        <v>0</v>
      </c>
      <c r="P6" s="1">
        <v>0</v>
      </c>
      <c r="Q6" s="1">
        <v>0</v>
      </c>
      <c r="R6" s="1">
        <v>0</v>
      </c>
      <c r="S6" s="2"/>
      <c r="T6" s="2"/>
      <c r="U6" s="1">
        <v>0</v>
      </c>
      <c r="V6" s="1">
        <v>0</v>
      </c>
      <c r="W6" s="1">
        <v>0</v>
      </c>
      <c r="X6" s="1">
        <v>0</v>
      </c>
      <c r="Y6" s="1">
        <v>16</v>
      </c>
      <c r="Z6" s="2"/>
      <c r="AA6" s="2"/>
      <c r="AB6" s="1">
        <v>0</v>
      </c>
      <c r="AC6" s="1">
        <v>0</v>
      </c>
      <c r="AD6" s="1">
        <v>0</v>
      </c>
      <c r="AE6" s="1">
        <v>16</v>
      </c>
      <c r="AF6" s="1">
        <v>0</v>
      </c>
      <c r="AG6" s="2"/>
      <c r="AH6" s="2"/>
    </row>
    <row r="7" spans="1:34">
      <c r="A7" s="1">
        <v>5</v>
      </c>
      <c r="B7" s="1" t="s">
        <v>7</v>
      </c>
      <c r="C7" s="1">
        <f t="shared" si="0"/>
        <v>0</v>
      </c>
      <c r="D7" s="1">
        <v>0</v>
      </c>
      <c r="E7" s="2"/>
      <c r="F7" s="2"/>
      <c r="G7" s="1">
        <v>0</v>
      </c>
      <c r="H7" s="1">
        <v>0</v>
      </c>
      <c r="I7" s="1">
        <v>0</v>
      </c>
      <c r="J7" s="1">
        <v>0</v>
      </c>
      <c r="K7" s="1">
        <v>0</v>
      </c>
      <c r="L7" s="2"/>
      <c r="M7" s="2"/>
      <c r="N7" s="1">
        <v>0</v>
      </c>
      <c r="O7" s="1">
        <v>0</v>
      </c>
      <c r="P7" s="1">
        <v>0</v>
      </c>
      <c r="Q7" s="1">
        <v>0</v>
      </c>
      <c r="R7" s="1">
        <v>0</v>
      </c>
      <c r="S7" s="2"/>
      <c r="T7" s="2"/>
      <c r="U7" s="1">
        <v>0</v>
      </c>
      <c r="V7" s="1">
        <v>0</v>
      </c>
      <c r="W7" s="1">
        <v>0</v>
      </c>
      <c r="X7" s="1">
        <v>0</v>
      </c>
      <c r="Y7" s="1">
        <v>0</v>
      </c>
      <c r="Z7" s="2"/>
      <c r="AA7" s="2"/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"/>
      <c r="AH7" s="2"/>
    </row>
    <row r="8" spans="1:34">
      <c r="A8" s="1">
        <v>6</v>
      </c>
      <c r="B8" s="1" t="s">
        <v>8</v>
      </c>
      <c r="C8" s="1">
        <f t="shared" si="0"/>
        <v>4</v>
      </c>
      <c r="D8" s="1">
        <v>0</v>
      </c>
      <c r="E8" s="2"/>
      <c r="F8" s="2"/>
      <c r="G8" s="1">
        <v>0</v>
      </c>
      <c r="H8" s="1">
        <v>0</v>
      </c>
      <c r="I8" s="1">
        <v>0</v>
      </c>
      <c r="J8" s="1">
        <v>0</v>
      </c>
      <c r="K8" s="1">
        <v>0</v>
      </c>
      <c r="L8" s="2"/>
      <c r="M8" s="2"/>
      <c r="N8" s="1">
        <v>0</v>
      </c>
      <c r="O8" s="1">
        <v>0</v>
      </c>
      <c r="P8" s="1">
        <v>0</v>
      </c>
      <c r="Q8" s="1">
        <v>0</v>
      </c>
      <c r="R8" s="1">
        <v>0</v>
      </c>
      <c r="S8" s="2"/>
      <c r="T8" s="2"/>
      <c r="U8" s="1">
        <v>0</v>
      </c>
      <c r="V8" s="1">
        <v>0</v>
      </c>
      <c r="W8" s="1">
        <v>0</v>
      </c>
      <c r="X8" s="1">
        <v>0</v>
      </c>
      <c r="Y8" s="1">
        <v>0</v>
      </c>
      <c r="Z8" s="2"/>
      <c r="AA8" s="2"/>
      <c r="AB8" s="1">
        <v>0</v>
      </c>
      <c r="AC8" s="1">
        <v>0</v>
      </c>
      <c r="AD8" s="1">
        <v>0</v>
      </c>
      <c r="AE8" s="1">
        <v>4</v>
      </c>
      <c r="AF8" s="1">
        <v>0</v>
      </c>
      <c r="AG8" s="2"/>
      <c r="AH8" s="2"/>
    </row>
    <row r="9" spans="1:34">
      <c r="A9" s="1">
        <v>7</v>
      </c>
      <c r="B9" s="1" t="s">
        <v>9</v>
      </c>
      <c r="C9" s="1">
        <f t="shared" si="0"/>
        <v>58</v>
      </c>
      <c r="D9" s="1">
        <v>0</v>
      </c>
      <c r="E9" s="2"/>
      <c r="F9" s="2"/>
      <c r="G9" s="1">
        <v>16</v>
      </c>
      <c r="H9" s="1">
        <v>0</v>
      </c>
      <c r="I9" s="1">
        <v>0</v>
      </c>
      <c r="J9" s="1">
        <v>0</v>
      </c>
      <c r="K9" s="1">
        <v>0</v>
      </c>
      <c r="L9" s="2"/>
      <c r="M9" s="2"/>
      <c r="N9" s="1">
        <v>0</v>
      </c>
      <c r="O9" s="1">
        <v>0</v>
      </c>
      <c r="P9" s="1">
        <v>0</v>
      </c>
      <c r="Q9" s="1">
        <v>0</v>
      </c>
      <c r="R9" s="1">
        <v>0</v>
      </c>
      <c r="S9" s="2"/>
      <c r="T9" s="2"/>
      <c r="U9" s="1">
        <v>8</v>
      </c>
      <c r="V9" s="1">
        <v>0</v>
      </c>
      <c r="W9" s="1">
        <v>16</v>
      </c>
      <c r="X9" s="1">
        <v>0</v>
      </c>
      <c r="Y9" s="1">
        <v>2</v>
      </c>
      <c r="Z9" s="2"/>
      <c r="AA9" s="2"/>
      <c r="AB9" s="1">
        <v>0</v>
      </c>
      <c r="AC9" s="1">
        <v>0</v>
      </c>
      <c r="AD9" s="1">
        <v>16</v>
      </c>
      <c r="AE9" s="1">
        <v>0</v>
      </c>
      <c r="AF9" s="1">
        <v>0</v>
      </c>
      <c r="AG9" s="2"/>
      <c r="AH9" s="2"/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2"/>
      <c r="F10" s="2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2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/>
      <c r="T10" s="2"/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2"/>
      <c r="AA10" s="2"/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"/>
      <c r="AH10" s="2"/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2"/>
      <c r="F11" s="2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/>
      <c r="M11" s="2"/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/>
      <c r="T11" s="2"/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2"/>
      <c r="AA11" s="2"/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2"/>
      <c r="AH11" s="2"/>
    </row>
    <row r="12" spans="1:34">
      <c r="A12" s="1">
        <v>10</v>
      </c>
      <c r="B12" s="1" t="s">
        <v>12</v>
      </c>
      <c r="C12" s="1">
        <f t="shared" si="0"/>
        <v>32</v>
      </c>
      <c r="D12" s="1">
        <v>0</v>
      </c>
      <c r="E12" s="2"/>
      <c r="F12" s="2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/>
      <c r="M12" s="2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/>
      <c r="T12" s="2"/>
      <c r="U12" s="1">
        <v>0</v>
      </c>
      <c r="V12" s="1">
        <v>0</v>
      </c>
      <c r="W12" s="1">
        <v>16</v>
      </c>
      <c r="X12" s="1">
        <v>0</v>
      </c>
      <c r="Y12" s="1">
        <v>16</v>
      </c>
      <c r="Z12" s="2"/>
      <c r="AA12" s="2"/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"/>
      <c r="AH12" s="2"/>
    </row>
    <row r="13" spans="1:34">
      <c r="A13" s="1">
        <v>11</v>
      </c>
      <c r="B13" s="1" t="s">
        <v>13</v>
      </c>
      <c r="C13" s="1">
        <f t="shared" si="0"/>
        <v>16</v>
      </c>
      <c r="D13" s="1">
        <v>0</v>
      </c>
      <c r="E13" s="2"/>
      <c r="F13" s="2"/>
      <c r="G13" s="1">
        <v>0</v>
      </c>
      <c r="H13" s="1">
        <v>16</v>
      </c>
      <c r="I13" s="1">
        <v>0</v>
      </c>
      <c r="J13" s="1">
        <v>0</v>
      </c>
      <c r="K13" s="1">
        <v>0</v>
      </c>
      <c r="L13" s="2"/>
      <c r="M13" s="2"/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/>
      <c r="T13" s="2"/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/>
      <c r="AA13" s="2"/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2"/>
      <c r="AH13" s="2"/>
    </row>
    <row r="14" spans="1:34">
      <c r="A14" s="1">
        <v>12</v>
      </c>
      <c r="B14" s="1" t="s">
        <v>14</v>
      </c>
      <c r="C14" s="1">
        <f t="shared" si="0"/>
        <v>22</v>
      </c>
      <c r="D14" s="1">
        <v>0</v>
      </c>
      <c r="E14" s="2"/>
      <c r="F14" s="2"/>
      <c r="G14" s="1">
        <v>0</v>
      </c>
      <c r="H14" s="1">
        <v>6</v>
      </c>
      <c r="I14" s="1">
        <v>0</v>
      </c>
      <c r="J14" s="1">
        <v>0</v>
      </c>
      <c r="K14" s="1">
        <v>0</v>
      </c>
      <c r="L14" s="2"/>
      <c r="M14" s="2"/>
      <c r="N14" s="1">
        <v>16</v>
      </c>
      <c r="O14" s="1">
        <v>0</v>
      </c>
      <c r="P14" s="1">
        <v>0</v>
      </c>
      <c r="Q14" s="1">
        <v>0</v>
      </c>
      <c r="R14" s="1">
        <v>0</v>
      </c>
      <c r="S14" s="2"/>
      <c r="T14" s="2"/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2"/>
      <c r="AA14" s="2"/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2"/>
      <c r="AH14" s="2"/>
    </row>
    <row r="15" spans="1:34">
      <c r="A15" s="1">
        <v>13</v>
      </c>
      <c r="B15" s="1" t="s">
        <v>15</v>
      </c>
      <c r="C15" s="1">
        <f t="shared" si="0"/>
        <v>8</v>
      </c>
      <c r="D15" s="1">
        <v>0</v>
      </c>
      <c r="E15" s="2"/>
      <c r="F15" s="2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/>
      <c r="M15" s="2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/>
      <c r="T15" s="2"/>
      <c r="U15" s="1">
        <v>0</v>
      </c>
      <c r="V15" s="1">
        <v>0</v>
      </c>
      <c r="W15" s="1">
        <v>8</v>
      </c>
      <c r="X15" s="1">
        <v>0</v>
      </c>
      <c r="Y15" s="1">
        <v>0</v>
      </c>
      <c r="Z15" s="2"/>
      <c r="AA15" s="2"/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2"/>
      <c r="AH15" s="2"/>
    </row>
    <row r="16" spans="1:34">
      <c r="A16" s="1">
        <v>14</v>
      </c>
      <c r="B16" s="1" t="s">
        <v>16</v>
      </c>
      <c r="C16" s="1">
        <f t="shared" si="0"/>
        <v>0</v>
      </c>
      <c r="D16" s="1">
        <v>0</v>
      </c>
      <c r="E16" s="2"/>
      <c r="F16" s="2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/>
      <c r="M16" s="2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/>
      <c r="T16" s="2"/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2"/>
      <c r="AA16" s="2"/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2"/>
      <c r="AH16" s="2"/>
    </row>
  </sheetData>
  <mergeCells count="33">
    <mergeCell ref="AH1:AH2"/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H16"/>
  <sheetViews>
    <sheetView workbookViewId="0">
      <selection activeCell="C3" sqref="C3"/>
    </sheetView>
  </sheetViews>
  <sheetFormatPr baseColWidth="10" defaultColWidth="8.83203125" defaultRowHeight="15"/>
  <cols>
    <col min="3" max="3" width="15.33203125" bestFit="1" customWidth="1"/>
    <col min="4" max="17" width="8.83203125" hidden="1" customWidth="1"/>
    <col min="18" max="18" width="7.83203125" hidden="1" customWidth="1"/>
    <col min="19" max="30" width="8.83203125" hidden="1" customWidth="1"/>
    <col min="31" max="34" width="8.83203125" customWidth="1"/>
    <col min="36" max="36" width="0" hidden="1" customWidth="1"/>
  </cols>
  <sheetData>
    <row r="1" spans="1:34" ht="27">
      <c r="A1" s="59" t="s">
        <v>19</v>
      </c>
      <c r="B1" s="59"/>
      <c r="C1" s="43" t="s">
        <v>115</v>
      </c>
      <c r="D1" s="56">
        <v>45352</v>
      </c>
      <c r="E1" s="56">
        <v>45353</v>
      </c>
      <c r="F1" s="56">
        <v>45354</v>
      </c>
      <c r="G1" s="56">
        <v>45355</v>
      </c>
      <c r="H1" s="56">
        <v>45356</v>
      </c>
      <c r="I1" s="56">
        <v>45357</v>
      </c>
      <c r="J1" s="56">
        <v>45358</v>
      </c>
      <c r="K1" s="56">
        <v>45359</v>
      </c>
      <c r="L1" s="56">
        <v>45360</v>
      </c>
      <c r="M1" s="56">
        <v>45361</v>
      </c>
      <c r="N1" s="56">
        <v>45362</v>
      </c>
      <c r="O1" s="56">
        <v>45363</v>
      </c>
      <c r="P1" s="56">
        <v>45364</v>
      </c>
      <c r="Q1" s="56">
        <v>45365</v>
      </c>
      <c r="R1" s="56">
        <v>45366</v>
      </c>
      <c r="S1" s="56">
        <v>45367</v>
      </c>
      <c r="T1" s="56">
        <v>45368</v>
      </c>
      <c r="U1" s="56">
        <v>45369</v>
      </c>
      <c r="V1" s="56">
        <v>45370</v>
      </c>
      <c r="W1" s="56">
        <v>45371</v>
      </c>
      <c r="X1" s="56">
        <v>45372</v>
      </c>
      <c r="Y1" s="56">
        <v>45373</v>
      </c>
      <c r="Z1" s="56">
        <v>45374</v>
      </c>
      <c r="AA1" s="56">
        <v>45375</v>
      </c>
      <c r="AB1" s="56">
        <v>45376</v>
      </c>
      <c r="AC1" s="56">
        <v>45377</v>
      </c>
      <c r="AD1" s="56">
        <v>45378</v>
      </c>
      <c r="AE1" s="56">
        <v>45379</v>
      </c>
      <c r="AF1" s="56">
        <v>45380</v>
      </c>
      <c r="AG1" s="56">
        <v>45381</v>
      </c>
      <c r="AH1" s="56">
        <v>45382</v>
      </c>
    </row>
    <row r="2" spans="1:34">
      <c r="A2" s="1" t="s">
        <v>1</v>
      </c>
      <c r="B2" s="1" t="s">
        <v>2</v>
      </c>
      <c r="C2" s="58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spans="1:34">
      <c r="A3" s="1">
        <v>1</v>
      </c>
      <c r="B3" s="1" t="s">
        <v>187</v>
      </c>
      <c r="C3" s="1">
        <f t="shared" ref="C3:C16" si="0">SUM(D3:AH3)</f>
        <v>0</v>
      </c>
      <c r="D3" s="1">
        <v>0</v>
      </c>
      <c r="E3" s="2"/>
      <c r="F3" s="2"/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2"/>
      <c r="N3" s="1">
        <v>0</v>
      </c>
      <c r="O3" s="1">
        <v>0</v>
      </c>
      <c r="P3" s="1">
        <v>0</v>
      </c>
      <c r="Q3" s="1">
        <v>0</v>
      </c>
      <c r="R3" s="1">
        <v>0</v>
      </c>
      <c r="S3" s="2"/>
      <c r="T3" s="2"/>
      <c r="U3" s="1">
        <v>0</v>
      </c>
      <c r="V3" s="1">
        <v>0</v>
      </c>
      <c r="W3" s="1">
        <v>0</v>
      </c>
      <c r="X3" s="1">
        <v>0</v>
      </c>
      <c r="Y3" s="1">
        <v>0</v>
      </c>
      <c r="Z3" s="2"/>
      <c r="AA3" s="2"/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2"/>
      <c r="AH3" s="2"/>
    </row>
    <row r="4" spans="1:34">
      <c r="A4" s="1">
        <v>2</v>
      </c>
      <c r="B4" s="1" t="s">
        <v>4</v>
      </c>
      <c r="C4" s="1">
        <f t="shared" si="0"/>
        <v>8</v>
      </c>
      <c r="D4" s="1">
        <v>0</v>
      </c>
      <c r="E4" s="2"/>
      <c r="F4" s="2"/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2"/>
      <c r="N4" s="1">
        <v>0</v>
      </c>
      <c r="O4" s="1">
        <v>0</v>
      </c>
      <c r="P4" s="1">
        <v>0</v>
      </c>
      <c r="Q4" s="1">
        <v>0</v>
      </c>
      <c r="R4" s="1">
        <v>0</v>
      </c>
      <c r="S4" s="2"/>
      <c r="T4" s="2"/>
      <c r="U4" s="1">
        <v>0</v>
      </c>
      <c r="V4" s="1">
        <v>0</v>
      </c>
      <c r="W4" s="1">
        <v>0</v>
      </c>
      <c r="X4" s="1">
        <v>0</v>
      </c>
      <c r="Y4" s="1">
        <v>0</v>
      </c>
      <c r="Z4" s="2"/>
      <c r="AA4" s="2"/>
      <c r="AB4" s="1">
        <v>0</v>
      </c>
      <c r="AC4" s="1">
        <v>0</v>
      </c>
      <c r="AD4" s="1">
        <v>0</v>
      </c>
      <c r="AE4" s="1">
        <v>8</v>
      </c>
      <c r="AF4" s="1">
        <v>0</v>
      </c>
      <c r="AG4" s="2"/>
      <c r="AH4" s="2"/>
    </row>
    <row r="5" spans="1:34">
      <c r="A5" s="1">
        <v>3</v>
      </c>
      <c r="B5" s="1" t="s">
        <v>5</v>
      </c>
      <c r="C5" s="1">
        <f t="shared" si="0"/>
        <v>13</v>
      </c>
      <c r="D5" s="1">
        <v>0</v>
      </c>
      <c r="E5" s="2"/>
      <c r="F5" s="2"/>
      <c r="G5" s="1">
        <v>0</v>
      </c>
      <c r="H5" s="1">
        <v>0</v>
      </c>
      <c r="I5" s="1">
        <v>0</v>
      </c>
      <c r="J5" s="1">
        <v>0</v>
      </c>
      <c r="K5" s="1">
        <v>0</v>
      </c>
      <c r="L5" s="2"/>
      <c r="M5" s="2"/>
      <c r="N5" s="1">
        <v>0</v>
      </c>
      <c r="O5" s="1">
        <v>2</v>
      </c>
      <c r="P5" s="1">
        <v>2</v>
      </c>
      <c r="Q5" s="1">
        <v>2</v>
      </c>
      <c r="R5" s="1">
        <v>0</v>
      </c>
      <c r="S5" s="2"/>
      <c r="T5" s="2"/>
      <c r="U5" s="1">
        <v>0</v>
      </c>
      <c r="V5" s="1">
        <v>1</v>
      </c>
      <c r="W5" s="1">
        <v>0</v>
      </c>
      <c r="X5" s="1">
        <v>0</v>
      </c>
      <c r="Y5" s="1">
        <v>0</v>
      </c>
      <c r="Z5" s="2"/>
      <c r="AA5" s="2"/>
      <c r="AB5" s="1">
        <v>2</v>
      </c>
      <c r="AC5" s="1">
        <v>1</v>
      </c>
      <c r="AD5" s="1">
        <v>1</v>
      </c>
      <c r="AE5" s="1">
        <v>1</v>
      </c>
      <c r="AF5" s="1">
        <v>1</v>
      </c>
      <c r="AG5" s="2"/>
      <c r="AH5" s="2"/>
    </row>
    <row r="6" spans="1:34">
      <c r="A6" s="1">
        <v>4</v>
      </c>
      <c r="B6" s="1" t="s">
        <v>6</v>
      </c>
      <c r="C6" s="1">
        <f t="shared" si="0"/>
        <v>23</v>
      </c>
      <c r="D6" s="1">
        <v>0</v>
      </c>
      <c r="E6" s="2"/>
      <c r="F6" s="2"/>
      <c r="G6" s="1">
        <v>0</v>
      </c>
      <c r="H6" s="1">
        <v>0</v>
      </c>
      <c r="I6" s="1">
        <v>0</v>
      </c>
      <c r="J6" s="1">
        <v>0</v>
      </c>
      <c r="K6" s="1">
        <v>0</v>
      </c>
      <c r="L6" s="2"/>
      <c r="M6" s="2"/>
      <c r="N6" s="1">
        <v>0</v>
      </c>
      <c r="O6" s="1">
        <v>0</v>
      </c>
      <c r="P6" s="1">
        <v>0</v>
      </c>
      <c r="Q6" s="1">
        <v>0</v>
      </c>
      <c r="R6" s="1">
        <v>0</v>
      </c>
      <c r="S6" s="2">
        <v>16</v>
      </c>
      <c r="T6" s="2"/>
      <c r="U6" s="1">
        <v>0</v>
      </c>
      <c r="V6" s="1">
        <v>2</v>
      </c>
      <c r="W6" s="1">
        <v>1</v>
      </c>
      <c r="X6" s="1">
        <v>0</v>
      </c>
      <c r="Y6" s="1">
        <v>0</v>
      </c>
      <c r="Z6" s="2"/>
      <c r="AA6" s="2"/>
      <c r="AB6" s="1">
        <v>2</v>
      </c>
      <c r="AC6" s="1">
        <v>0</v>
      </c>
      <c r="AD6" s="1">
        <v>2</v>
      </c>
      <c r="AE6" s="1">
        <v>0</v>
      </c>
      <c r="AF6" s="1">
        <v>0</v>
      </c>
      <c r="AG6" s="2"/>
      <c r="AH6" s="2"/>
    </row>
    <row r="7" spans="1:34">
      <c r="A7" s="1">
        <v>5</v>
      </c>
      <c r="B7" s="1" t="s">
        <v>7</v>
      </c>
      <c r="C7" s="1">
        <f t="shared" si="0"/>
        <v>16</v>
      </c>
      <c r="D7" s="1">
        <v>0</v>
      </c>
      <c r="E7" s="2"/>
      <c r="F7" s="2"/>
      <c r="G7" s="1">
        <v>0</v>
      </c>
      <c r="H7" s="1">
        <v>0</v>
      </c>
      <c r="I7" s="1">
        <v>0</v>
      </c>
      <c r="J7" s="1">
        <v>0</v>
      </c>
      <c r="K7" s="1">
        <v>0</v>
      </c>
      <c r="L7" s="2"/>
      <c r="M7" s="2"/>
      <c r="N7" s="1">
        <v>0</v>
      </c>
      <c r="O7" s="1">
        <v>0</v>
      </c>
      <c r="P7" s="1">
        <v>0</v>
      </c>
      <c r="Q7" s="1">
        <v>0</v>
      </c>
      <c r="R7" s="1">
        <v>0</v>
      </c>
      <c r="S7" s="2">
        <v>16</v>
      </c>
      <c r="T7" s="2"/>
      <c r="U7" s="1">
        <v>0</v>
      </c>
      <c r="V7" s="1">
        <v>0</v>
      </c>
      <c r="W7" s="1">
        <v>0</v>
      </c>
      <c r="X7" s="1">
        <v>0</v>
      </c>
      <c r="Y7" s="1">
        <v>0</v>
      </c>
      <c r="Z7" s="2"/>
      <c r="AA7" s="2"/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"/>
      <c r="AH7" s="2"/>
    </row>
    <row r="8" spans="1:34">
      <c r="A8" s="1">
        <v>6</v>
      </c>
      <c r="B8" s="1" t="s">
        <v>8</v>
      </c>
      <c r="C8" s="1">
        <f t="shared" si="0"/>
        <v>38</v>
      </c>
      <c r="D8" s="1">
        <v>0</v>
      </c>
      <c r="E8" s="2"/>
      <c r="F8" s="2"/>
      <c r="G8" s="1">
        <v>2</v>
      </c>
      <c r="H8" s="1">
        <v>4</v>
      </c>
      <c r="I8" s="1">
        <v>3</v>
      </c>
      <c r="J8" s="1">
        <v>2</v>
      </c>
      <c r="K8" s="1">
        <v>1</v>
      </c>
      <c r="L8" s="2"/>
      <c r="M8" s="2"/>
      <c r="N8" s="1">
        <v>2</v>
      </c>
      <c r="O8" s="1">
        <v>2</v>
      </c>
      <c r="P8" s="1">
        <v>2</v>
      </c>
      <c r="Q8" s="1">
        <v>2</v>
      </c>
      <c r="R8" s="1">
        <v>1</v>
      </c>
      <c r="S8" s="2"/>
      <c r="T8" s="2"/>
      <c r="U8" s="1">
        <v>2</v>
      </c>
      <c r="V8" s="1">
        <v>3</v>
      </c>
      <c r="W8" s="1">
        <v>1</v>
      </c>
      <c r="X8" s="1">
        <v>1</v>
      </c>
      <c r="Y8" s="1">
        <v>2</v>
      </c>
      <c r="Z8" s="2"/>
      <c r="AA8" s="2"/>
      <c r="AB8" s="1">
        <v>2</v>
      </c>
      <c r="AC8" s="1">
        <v>2</v>
      </c>
      <c r="AD8" s="1">
        <v>2</v>
      </c>
      <c r="AE8" s="1">
        <v>0</v>
      </c>
      <c r="AF8" s="1">
        <v>2</v>
      </c>
      <c r="AG8" s="2"/>
      <c r="AH8" s="2"/>
    </row>
    <row r="9" spans="1:34">
      <c r="A9" s="1">
        <v>7</v>
      </c>
      <c r="B9" s="1" t="s">
        <v>9</v>
      </c>
      <c r="C9" s="1">
        <f t="shared" si="0"/>
        <v>47</v>
      </c>
      <c r="D9" s="1">
        <v>1</v>
      </c>
      <c r="E9" s="2"/>
      <c r="F9" s="2"/>
      <c r="G9" s="1">
        <v>0</v>
      </c>
      <c r="H9" s="1">
        <v>0</v>
      </c>
      <c r="I9" s="1">
        <v>0</v>
      </c>
      <c r="J9" s="1">
        <v>6</v>
      </c>
      <c r="K9" s="1">
        <v>1</v>
      </c>
      <c r="L9" s="2"/>
      <c r="M9" s="2"/>
      <c r="N9" s="1">
        <v>1</v>
      </c>
      <c r="O9" s="1">
        <v>6</v>
      </c>
      <c r="P9" s="1">
        <v>4</v>
      </c>
      <c r="Q9" s="1">
        <v>7</v>
      </c>
      <c r="R9" s="1">
        <v>0</v>
      </c>
      <c r="S9" s="2"/>
      <c r="T9" s="2"/>
      <c r="U9" s="1">
        <v>0</v>
      </c>
      <c r="V9" s="1">
        <v>6</v>
      </c>
      <c r="W9" s="1">
        <v>0</v>
      </c>
      <c r="X9" s="1">
        <v>7</v>
      </c>
      <c r="Y9" s="1">
        <v>0</v>
      </c>
      <c r="Z9" s="2"/>
      <c r="AA9" s="2"/>
      <c r="AB9" s="1">
        <v>0</v>
      </c>
      <c r="AC9" s="1">
        <v>1</v>
      </c>
      <c r="AD9" s="1">
        <v>0</v>
      </c>
      <c r="AE9" s="1">
        <v>7</v>
      </c>
      <c r="AF9" s="1">
        <v>0</v>
      </c>
      <c r="AG9" s="2"/>
      <c r="AH9" s="2"/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2"/>
      <c r="F10" s="2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2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/>
      <c r="T10" s="2"/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2"/>
      <c r="AA10" s="2"/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"/>
      <c r="AH10" s="2"/>
    </row>
    <row r="11" spans="1:34">
      <c r="A11" s="1">
        <v>9</v>
      </c>
      <c r="B11" s="1" t="s">
        <v>11</v>
      </c>
      <c r="C11" s="1">
        <f t="shared" si="0"/>
        <v>16</v>
      </c>
      <c r="D11" s="1">
        <v>0</v>
      </c>
      <c r="E11" s="2"/>
      <c r="F11" s="2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/>
      <c r="M11" s="2"/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>
        <v>16</v>
      </c>
      <c r="T11" s="2"/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2"/>
      <c r="AA11" s="2"/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2"/>
      <c r="AH11" s="2"/>
    </row>
    <row r="12" spans="1:34">
      <c r="A12" s="1">
        <v>10</v>
      </c>
      <c r="B12" s="1" t="s">
        <v>12</v>
      </c>
      <c r="C12" s="1">
        <f t="shared" si="0"/>
        <v>16</v>
      </c>
      <c r="D12" s="1">
        <v>0</v>
      </c>
      <c r="E12" s="2"/>
      <c r="F12" s="2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/>
      <c r="M12" s="2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>
        <v>16</v>
      </c>
      <c r="T12" s="2"/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2"/>
      <c r="AA12" s="2"/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"/>
      <c r="AH12" s="2"/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2"/>
      <c r="F13" s="2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/>
      <c r="M13" s="2"/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/>
      <c r="T13" s="2"/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/>
      <c r="AA13" s="2"/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2"/>
      <c r="AH13" s="2"/>
    </row>
    <row r="14" spans="1:34">
      <c r="A14" s="1">
        <v>12</v>
      </c>
      <c r="B14" s="1" t="s">
        <v>14</v>
      </c>
      <c r="C14" s="1">
        <f t="shared" si="0"/>
        <v>33</v>
      </c>
      <c r="D14" s="1">
        <v>0</v>
      </c>
      <c r="E14" s="2"/>
      <c r="F14" s="2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/>
      <c r="M14" s="2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>
        <v>16</v>
      </c>
      <c r="T14" s="2"/>
      <c r="U14" s="1">
        <v>0</v>
      </c>
      <c r="V14" s="1">
        <v>0</v>
      </c>
      <c r="W14" s="1">
        <v>0</v>
      </c>
      <c r="X14" s="1">
        <v>6</v>
      </c>
      <c r="Y14" s="1">
        <v>5</v>
      </c>
      <c r="Z14" s="2"/>
      <c r="AA14" s="2"/>
      <c r="AB14" s="1">
        <v>0</v>
      </c>
      <c r="AC14" s="1">
        <v>0</v>
      </c>
      <c r="AD14" s="1">
        <v>6</v>
      </c>
      <c r="AE14" s="1">
        <v>0</v>
      </c>
      <c r="AF14" s="1">
        <v>0</v>
      </c>
      <c r="AG14" s="2"/>
      <c r="AH14" s="2"/>
    </row>
    <row r="15" spans="1:34">
      <c r="A15" s="1">
        <v>13</v>
      </c>
      <c r="B15" s="1" t="s">
        <v>15</v>
      </c>
      <c r="C15" s="1">
        <f t="shared" si="0"/>
        <v>31</v>
      </c>
      <c r="D15" s="1">
        <v>2</v>
      </c>
      <c r="E15" s="2"/>
      <c r="F15" s="2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/>
      <c r="M15" s="2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>
        <v>16</v>
      </c>
      <c r="T15" s="2"/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2"/>
      <c r="AA15" s="2"/>
      <c r="AB15" s="1">
        <v>0</v>
      </c>
      <c r="AC15" s="1">
        <v>0</v>
      </c>
      <c r="AD15" s="1">
        <v>0</v>
      </c>
      <c r="AE15" s="1">
        <v>4</v>
      </c>
      <c r="AF15" s="1">
        <v>4</v>
      </c>
      <c r="AG15" s="2">
        <v>5</v>
      </c>
      <c r="AH15" s="2"/>
    </row>
    <row r="16" spans="1:34">
      <c r="A16" s="1">
        <v>14</v>
      </c>
      <c r="B16" s="1" t="s">
        <v>16</v>
      </c>
      <c r="C16" s="1">
        <f t="shared" si="0"/>
        <v>34</v>
      </c>
      <c r="D16" s="1">
        <v>0</v>
      </c>
      <c r="E16" s="2"/>
      <c r="F16" s="2"/>
      <c r="G16" s="1">
        <v>0</v>
      </c>
      <c r="H16" s="1">
        <v>0</v>
      </c>
      <c r="I16" s="1">
        <v>0</v>
      </c>
      <c r="J16" s="1">
        <v>7</v>
      </c>
      <c r="K16" s="1">
        <v>0</v>
      </c>
      <c r="L16" s="2"/>
      <c r="M16" s="2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>
        <v>16</v>
      </c>
      <c r="T16" s="2"/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2"/>
      <c r="AA16" s="2"/>
      <c r="AB16" s="1">
        <v>0</v>
      </c>
      <c r="AC16" s="1">
        <v>0</v>
      </c>
      <c r="AD16" s="1">
        <v>0</v>
      </c>
      <c r="AE16" s="1">
        <v>0</v>
      </c>
      <c r="AF16" s="1">
        <v>11</v>
      </c>
      <c r="AG16" s="2"/>
      <c r="AH16" s="2"/>
    </row>
  </sheetData>
  <mergeCells count="33">
    <mergeCell ref="AH1:AH2"/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9"/>
  <sheetViews>
    <sheetView zoomScale="70" zoomScaleNormal="70" workbookViewId="0">
      <selection activeCell="AO11" sqref="AO11"/>
    </sheetView>
  </sheetViews>
  <sheetFormatPr baseColWidth="10" defaultColWidth="8.83203125" defaultRowHeight="15"/>
  <cols>
    <col min="3" max="31" width="8.83203125" hidden="1" customWidth="1"/>
    <col min="32" max="32" width="8.83203125" customWidth="1"/>
  </cols>
  <sheetData>
    <row r="1" spans="1:32" ht="27">
      <c r="A1" s="55" t="s">
        <v>0</v>
      </c>
      <c r="B1" s="55"/>
      <c r="C1" s="53">
        <v>45383</v>
      </c>
      <c r="D1" s="53">
        <v>45384</v>
      </c>
      <c r="E1" s="53">
        <v>45385</v>
      </c>
      <c r="F1" s="53">
        <v>45386</v>
      </c>
      <c r="G1" s="53">
        <v>45387</v>
      </c>
      <c r="H1" s="53">
        <v>45388</v>
      </c>
      <c r="I1" s="53">
        <v>45389</v>
      </c>
      <c r="J1" s="53">
        <v>45390</v>
      </c>
      <c r="K1" s="53">
        <v>45391</v>
      </c>
      <c r="L1" s="53">
        <v>45392</v>
      </c>
      <c r="M1" s="53">
        <v>45393</v>
      </c>
      <c r="N1" s="53">
        <v>45394</v>
      </c>
      <c r="O1" s="53">
        <v>45395</v>
      </c>
      <c r="P1" s="53">
        <v>45396</v>
      </c>
      <c r="Q1" s="53">
        <v>45397</v>
      </c>
      <c r="R1" s="53">
        <v>45398</v>
      </c>
      <c r="S1" s="53">
        <v>45399</v>
      </c>
      <c r="T1" s="53">
        <v>45400</v>
      </c>
      <c r="U1" s="53">
        <v>45401</v>
      </c>
      <c r="V1" s="53">
        <v>45402</v>
      </c>
      <c r="W1" s="53">
        <v>45403</v>
      </c>
      <c r="X1" s="53">
        <v>45404</v>
      </c>
      <c r="Y1" s="53">
        <v>45405</v>
      </c>
      <c r="Z1" s="53">
        <v>45406</v>
      </c>
      <c r="AA1" s="53">
        <v>45407</v>
      </c>
      <c r="AB1" s="53">
        <v>45408</v>
      </c>
      <c r="AC1" s="53">
        <v>45409</v>
      </c>
      <c r="AD1" s="53">
        <v>45410</v>
      </c>
      <c r="AE1" s="53">
        <v>45411</v>
      </c>
      <c r="AF1" s="53">
        <v>45412</v>
      </c>
    </row>
    <row r="2" spans="1:32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</row>
    <row r="3" spans="1:32">
      <c r="A3" s="1">
        <v>1</v>
      </c>
      <c r="B3" s="1" t="s">
        <v>3</v>
      </c>
      <c r="C3" s="1" t="s">
        <v>27</v>
      </c>
      <c r="D3" s="1" t="s">
        <v>27</v>
      </c>
      <c r="E3" s="1" t="s">
        <v>27</v>
      </c>
      <c r="F3" s="2"/>
      <c r="G3" s="2"/>
      <c r="H3" s="2"/>
      <c r="I3" s="2"/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  <c r="O3" s="2"/>
      <c r="P3" s="2"/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2"/>
      <c r="W3" s="2"/>
      <c r="X3" s="1" t="s">
        <v>27</v>
      </c>
      <c r="Y3" s="1" t="s">
        <v>27</v>
      </c>
      <c r="Z3" s="1" t="s">
        <v>27</v>
      </c>
      <c r="AA3" s="1" t="s">
        <v>27</v>
      </c>
      <c r="AB3" s="1" t="s">
        <v>26</v>
      </c>
      <c r="AC3" s="2"/>
      <c r="AD3" s="2"/>
      <c r="AE3" s="1" t="s">
        <v>26</v>
      </c>
      <c r="AF3" s="1" t="s">
        <v>26</v>
      </c>
    </row>
    <row r="4" spans="1:32">
      <c r="A4" s="1">
        <v>2</v>
      </c>
      <c r="B4" s="1" t="s">
        <v>4</v>
      </c>
      <c r="C4" s="1" t="s">
        <v>27</v>
      </c>
      <c r="D4" s="1" t="s">
        <v>27</v>
      </c>
      <c r="E4" s="1" t="s">
        <v>27</v>
      </c>
      <c r="F4" s="2"/>
      <c r="G4" s="2"/>
      <c r="H4" s="2"/>
      <c r="I4" s="2"/>
      <c r="J4" s="1" t="s">
        <v>147</v>
      </c>
      <c r="K4" s="1" t="s">
        <v>26</v>
      </c>
      <c r="L4" s="1" t="s">
        <v>26</v>
      </c>
      <c r="M4" s="1" t="s">
        <v>26</v>
      </c>
      <c r="N4" s="1" t="s">
        <v>26</v>
      </c>
      <c r="O4" s="2"/>
      <c r="P4" s="2"/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2"/>
      <c r="W4" s="2"/>
      <c r="X4" s="1" t="s">
        <v>26</v>
      </c>
      <c r="Y4" s="1" t="s">
        <v>26</v>
      </c>
      <c r="Z4" s="1" t="s">
        <v>26</v>
      </c>
      <c r="AA4" s="1" t="s">
        <v>26</v>
      </c>
      <c r="AB4" s="1" t="s">
        <v>26</v>
      </c>
      <c r="AC4" s="2"/>
      <c r="AD4" s="2"/>
      <c r="AE4" s="1" t="s">
        <v>26</v>
      </c>
      <c r="AF4" s="1" t="s">
        <v>26</v>
      </c>
    </row>
    <row r="5" spans="1:32">
      <c r="A5" s="1">
        <v>3</v>
      </c>
      <c r="B5" s="1" t="s">
        <v>5</v>
      </c>
      <c r="C5" s="1" t="s">
        <v>27</v>
      </c>
      <c r="D5" s="1" t="s">
        <v>142</v>
      </c>
      <c r="E5" s="1" t="s">
        <v>144</v>
      </c>
      <c r="F5" s="2"/>
      <c r="G5" s="2"/>
      <c r="H5" s="2"/>
      <c r="I5" s="2"/>
      <c r="J5" s="1" t="s">
        <v>129</v>
      </c>
      <c r="K5" s="1" t="s">
        <v>27</v>
      </c>
      <c r="L5" s="1" t="s">
        <v>27</v>
      </c>
      <c r="M5" s="1" t="s">
        <v>27</v>
      </c>
      <c r="N5" s="1" t="s">
        <v>27</v>
      </c>
      <c r="O5" s="2"/>
      <c r="P5" s="2"/>
      <c r="Q5" s="1" t="s">
        <v>27</v>
      </c>
      <c r="R5" s="1" t="s">
        <v>27</v>
      </c>
      <c r="S5" s="1" t="s">
        <v>27</v>
      </c>
      <c r="T5" s="1" t="s">
        <v>27</v>
      </c>
      <c r="U5" s="1" t="s">
        <v>27</v>
      </c>
      <c r="V5" s="2"/>
      <c r="W5" s="2"/>
      <c r="X5" s="1" t="s">
        <v>27</v>
      </c>
      <c r="Y5" s="1" t="s">
        <v>153</v>
      </c>
      <c r="Z5" s="1" t="s">
        <v>27</v>
      </c>
      <c r="AA5" s="11" t="s">
        <v>154</v>
      </c>
      <c r="AB5" s="11" t="s">
        <v>154</v>
      </c>
      <c r="AC5" s="2"/>
      <c r="AD5" s="2"/>
      <c r="AE5" s="1" t="s">
        <v>27</v>
      </c>
      <c r="AF5" s="1" t="s">
        <v>27</v>
      </c>
    </row>
    <row r="6" spans="1:32">
      <c r="A6" s="1">
        <v>4</v>
      </c>
      <c r="B6" s="1" t="s">
        <v>6</v>
      </c>
      <c r="C6" s="1" t="s">
        <v>26</v>
      </c>
      <c r="D6" s="1" t="s">
        <v>26</v>
      </c>
      <c r="E6" s="1" t="s">
        <v>26</v>
      </c>
      <c r="F6" s="2"/>
      <c r="G6" s="2"/>
      <c r="H6" s="2"/>
      <c r="I6" s="2"/>
      <c r="J6" s="1" t="s">
        <v>127</v>
      </c>
      <c r="K6" s="1" t="s">
        <v>31</v>
      </c>
      <c r="L6" s="1" t="s">
        <v>30</v>
      </c>
      <c r="M6" s="1" t="s">
        <v>26</v>
      </c>
      <c r="N6" s="1" t="s">
        <v>26</v>
      </c>
      <c r="O6" s="2"/>
      <c r="P6" s="2"/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2"/>
      <c r="W6" s="2"/>
      <c r="X6" s="1" t="s">
        <v>26</v>
      </c>
      <c r="Y6" s="1" t="s">
        <v>26</v>
      </c>
      <c r="Z6" s="1" t="s">
        <v>26</v>
      </c>
      <c r="AA6" s="1" t="s">
        <v>26</v>
      </c>
      <c r="AB6" s="1" t="s">
        <v>26</v>
      </c>
      <c r="AC6" s="2"/>
      <c r="AD6" s="2"/>
      <c r="AE6" s="1" t="s">
        <v>26</v>
      </c>
      <c r="AF6" s="1" t="s">
        <v>26</v>
      </c>
    </row>
    <row r="7" spans="1:32">
      <c r="A7" s="1">
        <v>5</v>
      </c>
      <c r="B7" s="1" t="s">
        <v>7</v>
      </c>
      <c r="C7" s="1" t="s">
        <v>26</v>
      </c>
      <c r="D7" s="1" t="s">
        <v>143</v>
      </c>
      <c r="E7" s="1" t="s">
        <v>86</v>
      </c>
      <c r="F7" s="2"/>
      <c r="G7" s="2"/>
      <c r="H7" s="2"/>
      <c r="I7" s="2"/>
      <c r="J7" s="1" t="s">
        <v>86</v>
      </c>
      <c r="K7" s="1" t="s">
        <v>27</v>
      </c>
      <c r="L7" s="1" t="s">
        <v>27</v>
      </c>
      <c r="M7" s="1" t="s">
        <v>26</v>
      </c>
      <c r="N7" s="1" t="s">
        <v>26</v>
      </c>
      <c r="O7" s="2"/>
      <c r="P7" s="2"/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2"/>
      <c r="W7" s="2"/>
      <c r="X7" s="1" t="s">
        <v>26</v>
      </c>
      <c r="Y7" s="1" t="s">
        <v>26</v>
      </c>
      <c r="Z7" s="1" t="s">
        <v>26</v>
      </c>
      <c r="AA7" s="1" t="s">
        <v>26</v>
      </c>
      <c r="AB7" s="1" t="s">
        <v>26</v>
      </c>
      <c r="AC7" s="2"/>
      <c r="AD7" s="2"/>
      <c r="AE7" s="1" t="s">
        <v>26</v>
      </c>
      <c r="AF7" s="1" t="s">
        <v>26</v>
      </c>
    </row>
    <row r="8" spans="1:32">
      <c r="A8" s="1">
        <v>6</v>
      </c>
      <c r="B8" s="1" t="s">
        <v>8</v>
      </c>
      <c r="C8" s="1" t="s">
        <v>27</v>
      </c>
      <c r="D8" s="1" t="s">
        <v>27</v>
      </c>
      <c r="E8" s="1" t="s">
        <v>27</v>
      </c>
      <c r="F8" s="2"/>
      <c r="G8" s="2"/>
      <c r="H8" s="2"/>
      <c r="I8" s="2"/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2"/>
      <c r="P8" s="2"/>
      <c r="Q8" s="1" t="s">
        <v>27</v>
      </c>
      <c r="R8" s="1" t="s">
        <v>27</v>
      </c>
      <c r="S8" s="1" t="s">
        <v>27</v>
      </c>
      <c r="T8" s="1" t="s">
        <v>27</v>
      </c>
      <c r="U8" s="1" t="s">
        <v>27</v>
      </c>
      <c r="V8" s="2"/>
      <c r="W8" s="2"/>
      <c r="X8" s="1" t="s">
        <v>27</v>
      </c>
      <c r="Y8" s="1" t="s">
        <v>27</v>
      </c>
      <c r="Z8" s="1" t="s">
        <v>27</v>
      </c>
      <c r="AA8" s="1" t="s">
        <v>27</v>
      </c>
      <c r="AB8" s="1" t="s">
        <v>27</v>
      </c>
      <c r="AC8" s="2"/>
      <c r="AD8" s="2"/>
      <c r="AE8" s="10" t="s">
        <v>155</v>
      </c>
      <c r="AF8" s="10" t="s">
        <v>155</v>
      </c>
    </row>
    <row r="9" spans="1:32">
      <c r="A9" s="1">
        <v>7</v>
      </c>
      <c r="B9" s="1" t="s">
        <v>9</v>
      </c>
      <c r="C9" s="1" t="s">
        <v>27</v>
      </c>
      <c r="D9" s="1" t="s">
        <v>27</v>
      </c>
      <c r="E9" s="1" t="s">
        <v>27</v>
      </c>
      <c r="F9" s="2"/>
      <c r="G9" s="2"/>
      <c r="H9" s="2"/>
      <c r="I9" s="2"/>
      <c r="J9" s="1" t="s">
        <v>136</v>
      </c>
      <c r="K9" s="1" t="s">
        <v>27</v>
      </c>
      <c r="L9" s="1" t="s">
        <v>27</v>
      </c>
      <c r="M9" s="1" t="s">
        <v>27</v>
      </c>
      <c r="N9" s="1" t="s">
        <v>27</v>
      </c>
      <c r="O9" s="2"/>
      <c r="P9" s="2"/>
      <c r="Q9" s="1" t="s">
        <v>27</v>
      </c>
      <c r="R9" s="1" t="s">
        <v>27</v>
      </c>
      <c r="S9" s="1" t="s">
        <v>27</v>
      </c>
      <c r="T9" s="1" t="s">
        <v>27</v>
      </c>
      <c r="U9" s="1" t="s">
        <v>27</v>
      </c>
      <c r="V9" s="2"/>
      <c r="W9" s="2"/>
      <c r="X9" s="1" t="s">
        <v>27</v>
      </c>
      <c r="Y9" s="1" t="s">
        <v>27</v>
      </c>
      <c r="Z9" s="1" t="s">
        <v>27</v>
      </c>
      <c r="AA9" s="1" t="s">
        <v>27</v>
      </c>
      <c r="AB9" s="1" t="s">
        <v>27</v>
      </c>
      <c r="AC9" s="2"/>
      <c r="AD9" s="2"/>
      <c r="AE9" s="1" t="s">
        <v>27</v>
      </c>
      <c r="AF9" s="1" t="s">
        <v>27</v>
      </c>
    </row>
    <row r="10" spans="1:32">
      <c r="A10" s="1">
        <v>8</v>
      </c>
      <c r="B10" s="1" t="s">
        <v>10</v>
      </c>
      <c r="C10" s="1" t="s">
        <v>27</v>
      </c>
      <c r="D10" s="1" t="s">
        <v>146</v>
      </c>
      <c r="E10" s="1" t="s">
        <v>27</v>
      </c>
      <c r="F10" s="2"/>
      <c r="G10" s="2"/>
      <c r="H10" s="2"/>
      <c r="I10" s="2"/>
      <c r="J10" s="1" t="s">
        <v>27</v>
      </c>
      <c r="K10" s="10" t="s">
        <v>150</v>
      </c>
      <c r="L10" s="1" t="s">
        <v>30</v>
      </c>
      <c r="M10" s="1" t="s">
        <v>26</v>
      </c>
      <c r="N10" s="1" t="s">
        <v>26</v>
      </c>
      <c r="O10" s="2"/>
      <c r="P10" s="2"/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2"/>
      <c r="W10" s="2"/>
      <c r="X10" s="1" t="s">
        <v>26</v>
      </c>
      <c r="Y10" s="1" t="s">
        <v>26</v>
      </c>
      <c r="Z10" s="1" t="s">
        <v>26</v>
      </c>
      <c r="AA10" s="1" t="s">
        <v>26</v>
      </c>
      <c r="AB10" s="1" t="s">
        <v>26</v>
      </c>
      <c r="AC10" s="2"/>
      <c r="AD10" s="2"/>
      <c r="AE10" s="1" t="s">
        <v>26</v>
      </c>
      <c r="AF10" s="1" t="s">
        <v>26</v>
      </c>
    </row>
    <row r="11" spans="1:32">
      <c r="A11" s="1">
        <v>9</v>
      </c>
      <c r="B11" s="1" t="s">
        <v>11</v>
      </c>
      <c r="C11" s="1" t="s">
        <v>26</v>
      </c>
      <c r="D11" s="1" t="s">
        <v>142</v>
      </c>
      <c r="E11" s="1" t="s">
        <v>145</v>
      </c>
      <c r="F11" s="2"/>
      <c r="G11" s="2"/>
      <c r="H11" s="2"/>
      <c r="I11" s="2"/>
      <c r="J11" s="1" t="s">
        <v>27</v>
      </c>
      <c r="K11" s="1" t="s">
        <v>27</v>
      </c>
      <c r="L11" s="1" t="s">
        <v>27</v>
      </c>
      <c r="M11" s="1" t="s">
        <v>26</v>
      </c>
      <c r="N11" s="1" t="s">
        <v>26</v>
      </c>
      <c r="O11" s="2"/>
      <c r="P11" s="2"/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2"/>
      <c r="W11" s="2"/>
      <c r="X11" s="1" t="s">
        <v>26</v>
      </c>
      <c r="Y11" s="1" t="s">
        <v>26</v>
      </c>
      <c r="Z11" s="1" t="s">
        <v>26</v>
      </c>
      <c r="AA11" s="1" t="s">
        <v>26</v>
      </c>
      <c r="AB11" s="1" t="s">
        <v>26</v>
      </c>
      <c r="AC11" s="2"/>
      <c r="AD11" s="2"/>
      <c r="AE11" s="1" t="s">
        <v>26</v>
      </c>
      <c r="AF11" s="1" t="s">
        <v>26</v>
      </c>
    </row>
    <row r="12" spans="1:32">
      <c r="A12" s="1">
        <v>10</v>
      </c>
      <c r="B12" s="1" t="s">
        <v>12</v>
      </c>
      <c r="C12" s="1" t="s">
        <v>26</v>
      </c>
      <c r="D12" s="1" t="s">
        <v>26</v>
      </c>
      <c r="E12" s="1" t="s">
        <v>26</v>
      </c>
      <c r="F12" s="2"/>
      <c r="G12" s="2"/>
      <c r="H12" s="2"/>
      <c r="I12" s="2"/>
      <c r="J12" s="1" t="s">
        <v>26</v>
      </c>
      <c r="K12" s="1" t="s">
        <v>26</v>
      </c>
      <c r="L12" s="1" t="s">
        <v>151</v>
      </c>
      <c r="M12" s="1" t="s">
        <v>26</v>
      </c>
      <c r="N12" s="1" t="s">
        <v>26</v>
      </c>
      <c r="O12" s="2"/>
      <c r="P12" s="2"/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2"/>
      <c r="W12" s="2"/>
      <c r="X12" s="1" t="s">
        <v>26</v>
      </c>
      <c r="Y12" s="1" t="s">
        <v>26</v>
      </c>
      <c r="Z12" s="1" t="s">
        <v>26</v>
      </c>
      <c r="AA12" s="1" t="s">
        <v>26</v>
      </c>
      <c r="AB12" s="1" t="s">
        <v>26</v>
      </c>
      <c r="AC12" s="2"/>
      <c r="AD12" s="2"/>
      <c r="AE12" s="1" t="s">
        <v>26</v>
      </c>
      <c r="AF12" s="1" t="s">
        <v>26</v>
      </c>
    </row>
    <row r="13" spans="1:32">
      <c r="A13" s="1">
        <v>11</v>
      </c>
      <c r="B13" s="1" t="s">
        <v>13</v>
      </c>
      <c r="C13" s="1" t="s">
        <v>26</v>
      </c>
      <c r="D13" s="1" t="s">
        <v>26</v>
      </c>
      <c r="E13" s="1" t="s">
        <v>26</v>
      </c>
      <c r="F13" s="2"/>
      <c r="G13" s="2"/>
      <c r="H13" s="2"/>
      <c r="I13" s="2"/>
      <c r="J13" s="1" t="s">
        <v>149</v>
      </c>
      <c r="K13" s="1" t="s">
        <v>130</v>
      </c>
      <c r="L13" s="1" t="s">
        <v>27</v>
      </c>
      <c r="M13" s="1" t="s">
        <v>152</v>
      </c>
      <c r="N13" s="1" t="s">
        <v>26</v>
      </c>
      <c r="O13" s="2"/>
      <c r="P13" s="2"/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2"/>
      <c r="W13" s="2"/>
      <c r="X13" s="1" t="s">
        <v>26</v>
      </c>
      <c r="Y13" s="1" t="s">
        <v>26</v>
      </c>
      <c r="Z13" s="1" t="s">
        <v>26</v>
      </c>
      <c r="AA13" s="1" t="s">
        <v>26</v>
      </c>
      <c r="AB13" s="1" t="s">
        <v>26</v>
      </c>
      <c r="AC13" s="2"/>
      <c r="AD13" s="2"/>
      <c r="AE13" s="1" t="s">
        <v>26</v>
      </c>
      <c r="AF13" s="1" t="s">
        <v>26</v>
      </c>
    </row>
    <row r="14" spans="1:32">
      <c r="A14" s="1">
        <v>12</v>
      </c>
      <c r="B14" s="1" t="s">
        <v>14</v>
      </c>
      <c r="C14" s="1" t="s">
        <v>26</v>
      </c>
      <c r="D14" s="1" t="s">
        <v>26</v>
      </c>
      <c r="E14" s="1" t="s">
        <v>26</v>
      </c>
      <c r="F14" s="2"/>
      <c r="G14" s="2"/>
      <c r="H14" s="2"/>
      <c r="I14" s="2"/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2"/>
      <c r="P14" s="2"/>
      <c r="Q14" s="1" t="s">
        <v>26</v>
      </c>
      <c r="R14" s="1" t="s">
        <v>27</v>
      </c>
      <c r="S14" s="1" t="s">
        <v>27</v>
      </c>
      <c r="T14" s="1" t="s">
        <v>119</v>
      </c>
      <c r="U14" s="1" t="s">
        <v>26</v>
      </c>
      <c r="V14" s="2"/>
      <c r="W14" s="2"/>
      <c r="X14" s="1" t="s">
        <v>26</v>
      </c>
      <c r="Y14" s="1" t="s">
        <v>26</v>
      </c>
      <c r="Z14" s="1" t="s">
        <v>26</v>
      </c>
      <c r="AA14" s="1" t="s">
        <v>26</v>
      </c>
      <c r="AB14" s="1" t="s">
        <v>26</v>
      </c>
      <c r="AC14" s="2"/>
      <c r="AD14" s="2"/>
      <c r="AE14" s="1" t="s">
        <v>26</v>
      </c>
      <c r="AF14" s="1" t="s">
        <v>26</v>
      </c>
    </row>
    <row r="15" spans="1:32">
      <c r="A15" s="1">
        <v>13</v>
      </c>
      <c r="B15" s="1" t="s">
        <v>15</v>
      </c>
      <c r="C15" s="1" t="s">
        <v>27</v>
      </c>
      <c r="D15" s="1" t="s">
        <v>27</v>
      </c>
      <c r="E15" s="1" t="s">
        <v>27</v>
      </c>
      <c r="F15" s="2"/>
      <c r="G15" s="2"/>
      <c r="H15" s="2"/>
      <c r="I15" s="2"/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27</v>
      </c>
      <c r="O15" s="2"/>
      <c r="P15" s="2"/>
      <c r="Q15" s="1" t="s">
        <v>27</v>
      </c>
      <c r="R15" s="1" t="s">
        <v>27</v>
      </c>
      <c r="S15" s="1" t="s">
        <v>27</v>
      </c>
      <c r="T15" s="1" t="s">
        <v>27</v>
      </c>
      <c r="U15" s="1" t="s">
        <v>27</v>
      </c>
      <c r="V15" s="2"/>
      <c r="W15" s="2"/>
      <c r="X15" s="1" t="s">
        <v>27</v>
      </c>
      <c r="Y15" s="1" t="s">
        <v>27</v>
      </c>
      <c r="Z15" s="1" t="s">
        <v>27</v>
      </c>
      <c r="AA15" s="1" t="s">
        <v>27</v>
      </c>
      <c r="AB15" s="1" t="s">
        <v>27</v>
      </c>
      <c r="AC15" s="2"/>
      <c r="AD15" s="2"/>
      <c r="AE15" s="1" t="s">
        <v>27</v>
      </c>
      <c r="AF15" s="1" t="s">
        <v>27</v>
      </c>
    </row>
    <row r="16" spans="1:32">
      <c r="A16" s="1">
        <v>14</v>
      </c>
      <c r="B16" s="1" t="s">
        <v>16</v>
      </c>
      <c r="C16" s="1" t="s">
        <v>26</v>
      </c>
      <c r="D16" s="1" t="s">
        <v>26</v>
      </c>
      <c r="E16" s="1" t="s">
        <v>26</v>
      </c>
      <c r="F16" s="2"/>
      <c r="G16" s="2"/>
      <c r="H16" s="2"/>
      <c r="I16" s="2"/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2"/>
      <c r="P16" s="2"/>
      <c r="Q16" s="1" t="s">
        <v>26</v>
      </c>
      <c r="R16" s="1" t="s">
        <v>26</v>
      </c>
      <c r="S16" s="1" t="s">
        <v>26</v>
      </c>
      <c r="T16" s="1" t="s">
        <v>119</v>
      </c>
      <c r="U16" s="1" t="s">
        <v>23</v>
      </c>
      <c r="V16" s="2"/>
      <c r="W16" s="2"/>
      <c r="X16" s="1" t="s">
        <v>27</v>
      </c>
      <c r="Y16" s="1" t="s">
        <v>27</v>
      </c>
      <c r="Z16" s="1" t="s">
        <v>27</v>
      </c>
      <c r="AA16" s="1" t="s">
        <v>27</v>
      </c>
      <c r="AB16" s="1" t="s">
        <v>27</v>
      </c>
      <c r="AC16" s="2"/>
      <c r="AD16" s="2"/>
      <c r="AE16" s="1" t="s">
        <v>23</v>
      </c>
      <c r="AF16" s="11" t="s">
        <v>156</v>
      </c>
    </row>
    <row r="17" spans="1:2">
      <c r="A17" s="5" t="s">
        <v>27</v>
      </c>
      <c r="B17" t="s">
        <v>24</v>
      </c>
    </row>
    <row r="18" spans="1:2">
      <c r="A18" s="4" t="s">
        <v>23</v>
      </c>
      <c r="B18" t="s">
        <v>25</v>
      </c>
    </row>
    <row r="19" spans="1:2">
      <c r="A19" s="8" t="s">
        <v>148</v>
      </c>
      <c r="B19" s="7" t="s">
        <v>40</v>
      </c>
    </row>
  </sheetData>
  <mergeCells count="31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G16"/>
  <sheetViews>
    <sheetView workbookViewId="0">
      <selection activeCell="AD3" sqref="AD3:AD16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2" width="8.83203125" hidden="1" customWidth="1"/>
    <col min="33" max="33" width="8.83203125" customWidth="1"/>
  </cols>
  <sheetData>
    <row r="1" spans="1:33" ht="27">
      <c r="A1" s="57" t="s">
        <v>17</v>
      </c>
      <c r="B1" s="57"/>
      <c r="C1" s="43" t="s">
        <v>138</v>
      </c>
      <c r="D1" s="53">
        <v>45383</v>
      </c>
      <c r="E1" s="53">
        <v>45384</v>
      </c>
      <c r="F1" s="53">
        <v>45385</v>
      </c>
      <c r="G1" s="53">
        <v>45386</v>
      </c>
      <c r="H1" s="53">
        <v>45387</v>
      </c>
      <c r="I1" s="53">
        <v>45388</v>
      </c>
      <c r="J1" s="53">
        <v>45389</v>
      </c>
      <c r="K1" s="53">
        <v>45390</v>
      </c>
      <c r="L1" s="53">
        <v>45391</v>
      </c>
      <c r="M1" s="53">
        <v>45392</v>
      </c>
      <c r="N1" s="53">
        <v>45393</v>
      </c>
      <c r="O1" s="53">
        <v>45394</v>
      </c>
      <c r="P1" s="53">
        <v>45395</v>
      </c>
      <c r="Q1" s="53">
        <v>45396</v>
      </c>
      <c r="R1" s="53">
        <v>45397</v>
      </c>
      <c r="S1" s="53">
        <v>45398</v>
      </c>
      <c r="T1" s="53">
        <v>45399</v>
      </c>
      <c r="U1" s="53">
        <v>45400</v>
      </c>
      <c r="V1" s="53">
        <v>45401</v>
      </c>
      <c r="W1" s="53">
        <v>45402</v>
      </c>
      <c r="X1" s="53">
        <v>45403</v>
      </c>
      <c r="Y1" s="53">
        <v>45404</v>
      </c>
      <c r="Z1" s="53">
        <v>45405</v>
      </c>
      <c r="AA1" s="53">
        <v>45406</v>
      </c>
      <c r="AB1" s="53">
        <v>45407</v>
      </c>
      <c r="AC1" s="53">
        <v>45408</v>
      </c>
      <c r="AD1" s="53">
        <v>45409</v>
      </c>
      <c r="AE1" s="53">
        <v>45410</v>
      </c>
      <c r="AF1" s="53">
        <v>45411</v>
      </c>
      <c r="AG1" s="53">
        <v>45412</v>
      </c>
    </row>
    <row r="2" spans="1:33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1">
        <f t="shared" ref="C3:C16" si="0">SUM(D3:AG3)</f>
        <v>0</v>
      </c>
      <c r="D3" s="1">
        <v>0</v>
      </c>
      <c r="E3" s="1">
        <v>0</v>
      </c>
      <c r="F3" s="1">
        <v>0</v>
      </c>
      <c r="G3" s="2"/>
      <c r="H3" s="2"/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1">
        <v>0</v>
      </c>
      <c r="AG3" s="1">
        <v>0</v>
      </c>
    </row>
    <row r="4" spans="1:33">
      <c r="A4" s="1">
        <v>2</v>
      </c>
      <c r="B4" s="1" t="s">
        <v>4</v>
      </c>
      <c r="C4" s="1">
        <f t="shared" si="0"/>
        <v>8</v>
      </c>
      <c r="D4" s="1">
        <v>8</v>
      </c>
      <c r="E4" s="1">
        <v>0</v>
      </c>
      <c r="F4" s="1">
        <v>0</v>
      </c>
      <c r="G4" s="2"/>
      <c r="H4" s="2"/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0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1">
        <v>0</v>
      </c>
      <c r="AG4" s="1">
        <v>0</v>
      </c>
    </row>
    <row r="5" spans="1:33">
      <c r="A5" s="1">
        <v>3</v>
      </c>
      <c r="B5" s="1" t="s">
        <v>5</v>
      </c>
      <c r="C5" s="1">
        <f t="shared" si="0"/>
        <v>32</v>
      </c>
      <c r="D5" s="1">
        <v>0</v>
      </c>
      <c r="E5" s="1">
        <v>16</v>
      </c>
      <c r="F5" s="1">
        <v>8</v>
      </c>
      <c r="G5" s="2"/>
      <c r="H5" s="2"/>
      <c r="I5" s="2"/>
      <c r="J5" s="2"/>
      <c r="K5" s="1">
        <v>4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4</v>
      </c>
      <c r="AA5" s="1">
        <v>0</v>
      </c>
      <c r="AB5" s="1">
        <v>0</v>
      </c>
      <c r="AC5" s="1">
        <v>0</v>
      </c>
      <c r="AD5" s="2"/>
      <c r="AE5" s="2"/>
      <c r="AF5" s="1">
        <v>0</v>
      </c>
      <c r="AG5" s="1">
        <v>0</v>
      </c>
    </row>
    <row r="6" spans="1:33">
      <c r="A6" s="1">
        <v>4</v>
      </c>
      <c r="B6" s="1" t="s">
        <v>6</v>
      </c>
      <c r="C6" s="1">
        <f t="shared" si="0"/>
        <v>0</v>
      </c>
      <c r="D6" s="1">
        <v>0</v>
      </c>
      <c r="E6" s="1">
        <v>0</v>
      </c>
      <c r="F6" s="1">
        <v>0</v>
      </c>
      <c r="G6" s="2"/>
      <c r="H6" s="2"/>
      <c r="I6" s="2"/>
      <c r="J6" s="2"/>
      <c r="K6" s="1">
        <v>0</v>
      </c>
      <c r="L6" s="1">
        <v>0</v>
      </c>
      <c r="M6" s="1">
        <v>0</v>
      </c>
      <c r="N6" s="1">
        <v>0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0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2"/>
      <c r="AE6" s="2"/>
      <c r="AF6" s="1">
        <v>0</v>
      </c>
      <c r="AG6" s="1">
        <v>0</v>
      </c>
    </row>
    <row r="7" spans="1:33">
      <c r="A7" s="1">
        <v>5</v>
      </c>
      <c r="B7" s="1" t="s">
        <v>7</v>
      </c>
      <c r="C7" s="1">
        <f t="shared" si="0"/>
        <v>32</v>
      </c>
      <c r="D7" s="1">
        <v>0</v>
      </c>
      <c r="E7" s="1">
        <v>16</v>
      </c>
      <c r="F7" s="1">
        <v>0</v>
      </c>
      <c r="G7" s="2"/>
      <c r="H7" s="2"/>
      <c r="I7" s="2"/>
      <c r="J7" s="2"/>
      <c r="K7" s="1">
        <v>0</v>
      </c>
      <c r="L7" s="1">
        <v>0</v>
      </c>
      <c r="M7" s="1">
        <v>0</v>
      </c>
      <c r="N7" s="1">
        <v>16</v>
      </c>
      <c r="O7" s="1">
        <v>0</v>
      </c>
      <c r="P7" s="2"/>
      <c r="Q7" s="2"/>
      <c r="R7" s="1">
        <v>0</v>
      </c>
      <c r="S7" s="1">
        <v>0</v>
      </c>
      <c r="T7" s="1">
        <v>0</v>
      </c>
      <c r="U7" s="1">
        <v>0</v>
      </c>
      <c r="V7" s="1">
        <v>0</v>
      </c>
      <c r="W7" s="2"/>
      <c r="X7" s="2"/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"/>
      <c r="AE7" s="2"/>
      <c r="AF7" s="1">
        <v>0</v>
      </c>
      <c r="AG7" s="1">
        <v>0</v>
      </c>
    </row>
    <row r="8" spans="1:33">
      <c r="A8" s="1">
        <v>6</v>
      </c>
      <c r="B8" s="1" t="s">
        <v>8</v>
      </c>
      <c r="C8" s="1">
        <f t="shared" si="0"/>
        <v>0</v>
      </c>
      <c r="D8" s="1">
        <v>0</v>
      </c>
      <c r="E8" s="1">
        <v>0</v>
      </c>
      <c r="F8" s="1">
        <v>0</v>
      </c>
      <c r="G8" s="2"/>
      <c r="H8" s="2"/>
      <c r="I8" s="2"/>
      <c r="J8" s="2"/>
      <c r="K8" s="1">
        <v>0</v>
      </c>
      <c r="L8" s="1">
        <v>0</v>
      </c>
      <c r="M8" s="1">
        <v>0</v>
      </c>
      <c r="N8" s="1">
        <v>0</v>
      </c>
      <c r="O8" s="1">
        <v>0</v>
      </c>
      <c r="P8" s="2"/>
      <c r="Q8" s="2"/>
      <c r="R8" s="1">
        <v>0</v>
      </c>
      <c r="S8" s="1">
        <v>0</v>
      </c>
      <c r="T8" s="1">
        <v>0</v>
      </c>
      <c r="U8" s="1">
        <v>0</v>
      </c>
      <c r="V8" s="1">
        <v>0</v>
      </c>
      <c r="W8" s="2"/>
      <c r="X8" s="2"/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2"/>
      <c r="AE8" s="2"/>
      <c r="AF8" s="1">
        <v>0</v>
      </c>
      <c r="AG8" s="1">
        <v>0</v>
      </c>
    </row>
    <row r="9" spans="1:33">
      <c r="A9" s="1">
        <v>7</v>
      </c>
      <c r="B9" s="1" t="s">
        <v>9</v>
      </c>
      <c r="C9" s="1">
        <f t="shared" si="0"/>
        <v>5</v>
      </c>
      <c r="D9" s="1">
        <v>0</v>
      </c>
      <c r="E9" s="1">
        <v>3</v>
      </c>
      <c r="F9" s="1">
        <v>0</v>
      </c>
      <c r="G9" s="2"/>
      <c r="H9" s="2"/>
      <c r="I9" s="2"/>
      <c r="J9" s="2"/>
      <c r="K9" s="1">
        <v>0</v>
      </c>
      <c r="L9" s="1">
        <v>0</v>
      </c>
      <c r="M9" s="1">
        <v>0</v>
      </c>
      <c r="N9" s="1">
        <v>0</v>
      </c>
      <c r="O9" s="1">
        <v>0</v>
      </c>
      <c r="P9" s="2"/>
      <c r="Q9" s="2"/>
      <c r="R9" s="1">
        <v>0</v>
      </c>
      <c r="S9" s="1">
        <v>0</v>
      </c>
      <c r="T9" s="1">
        <v>0</v>
      </c>
      <c r="U9" s="1">
        <v>0</v>
      </c>
      <c r="V9" s="1">
        <v>0</v>
      </c>
      <c r="W9" s="2"/>
      <c r="X9" s="2"/>
      <c r="Y9" s="1">
        <v>0</v>
      </c>
      <c r="Z9" s="1">
        <v>0</v>
      </c>
      <c r="AA9" s="1">
        <v>0</v>
      </c>
      <c r="AB9" s="1">
        <v>0</v>
      </c>
      <c r="AC9" s="1">
        <v>2</v>
      </c>
      <c r="AD9" s="2"/>
      <c r="AE9" s="2"/>
      <c r="AF9" s="1">
        <v>0</v>
      </c>
      <c r="AG9" s="1">
        <v>0</v>
      </c>
    </row>
    <row r="10" spans="1:33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2"/>
      <c r="H10" s="2"/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1">
        <v>0</v>
      </c>
      <c r="AG10" s="1">
        <v>0</v>
      </c>
    </row>
    <row r="11" spans="1:33">
      <c r="A11" s="1">
        <v>9</v>
      </c>
      <c r="B11" s="1" t="s">
        <v>11</v>
      </c>
      <c r="C11" s="1">
        <f t="shared" si="0"/>
        <v>39</v>
      </c>
      <c r="D11" s="1">
        <v>0</v>
      </c>
      <c r="E11" s="1">
        <v>16</v>
      </c>
      <c r="F11" s="1">
        <v>0</v>
      </c>
      <c r="G11" s="2"/>
      <c r="H11" s="2"/>
      <c r="I11" s="2"/>
      <c r="J11" s="2"/>
      <c r="K11" s="1">
        <v>0</v>
      </c>
      <c r="L11" s="1">
        <v>7</v>
      </c>
      <c r="M11" s="1">
        <v>0</v>
      </c>
      <c r="N11" s="1">
        <v>16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/>
      <c r="X11" s="2"/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2"/>
      <c r="AE11" s="2"/>
      <c r="AF11" s="1">
        <v>0</v>
      </c>
      <c r="AG11" s="1">
        <v>0</v>
      </c>
    </row>
    <row r="12" spans="1:33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1">
        <v>0</v>
      </c>
      <c r="G12" s="2"/>
      <c r="H12" s="2"/>
      <c r="I12" s="2"/>
      <c r="J12" s="2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/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1">
        <v>0</v>
      </c>
      <c r="AG12" s="1">
        <v>0</v>
      </c>
    </row>
    <row r="13" spans="1:33">
      <c r="A13" s="1">
        <v>11</v>
      </c>
      <c r="B13" s="1" t="s">
        <v>13</v>
      </c>
      <c r="C13" s="1">
        <f t="shared" si="0"/>
        <v>22</v>
      </c>
      <c r="D13" s="1">
        <v>0</v>
      </c>
      <c r="E13" s="1">
        <v>0</v>
      </c>
      <c r="F13" s="1">
        <v>0</v>
      </c>
      <c r="G13" s="2"/>
      <c r="H13" s="2"/>
      <c r="I13" s="2"/>
      <c r="J13" s="2"/>
      <c r="K13" s="1">
        <v>4</v>
      </c>
      <c r="L13" s="1">
        <v>0</v>
      </c>
      <c r="M13" s="1">
        <v>0</v>
      </c>
      <c r="N13" s="1">
        <v>2</v>
      </c>
      <c r="O13" s="1">
        <v>16</v>
      </c>
      <c r="P13" s="2"/>
      <c r="Q13" s="2"/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2"/>
      <c r="X13" s="2"/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2"/>
      <c r="AE13" s="2"/>
      <c r="AF13" s="1">
        <v>0</v>
      </c>
      <c r="AG13" s="1">
        <v>0</v>
      </c>
    </row>
    <row r="14" spans="1:33">
      <c r="A14" s="1">
        <v>12</v>
      </c>
      <c r="B14" s="1" t="s">
        <v>14</v>
      </c>
      <c r="C14" s="1">
        <f t="shared" si="0"/>
        <v>16</v>
      </c>
      <c r="D14" s="1">
        <v>0</v>
      </c>
      <c r="E14" s="1">
        <v>0</v>
      </c>
      <c r="F14" s="1">
        <v>0</v>
      </c>
      <c r="G14" s="2"/>
      <c r="H14" s="2"/>
      <c r="I14" s="2"/>
      <c r="J14" s="2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/>
      <c r="Q14" s="2"/>
      <c r="R14" s="1">
        <v>0</v>
      </c>
      <c r="S14" s="1">
        <v>0</v>
      </c>
      <c r="T14" s="1">
        <v>0</v>
      </c>
      <c r="U14" s="1">
        <v>16</v>
      </c>
      <c r="V14" s="1">
        <v>0</v>
      </c>
      <c r="W14" s="2"/>
      <c r="X14" s="2"/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2"/>
      <c r="AE14" s="2"/>
      <c r="AF14" s="1">
        <v>0</v>
      </c>
      <c r="AG14" s="1">
        <v>0</v>
      </c>
    </row>
    <row r="15" spans="1:33">
      <c r="A15" s="1">
        <v>13</v>
      </c>
      <c r="B15" s="1" t="s">
        <v>15</v>
      </c>
      <c r="C15" s="1">
        <f t="shared" si="0"/>
        <v>12</v>
      </c>
      <c r="D15" s="1">
        <v>0</v>
      </c>
      <c r="E15" s="1">
        <v>0</v>
      </c>
      <c r="F15" s="1">
        <v>0</v>
      </c>
      <c r="G15" s="2"/>
      <c r="H15" s="2"/>
      <c r="I15" s="2"/>
      <c r="J15" s="2"/>
      <c r="K15" s="1">
        <v>4</v>
      </c>
      <c r="L15" s="1">
        <v>0</v>
      </c>
      <c r="M15" s="1">
        <v>0</v>
      </c>
      <c r="N15" s="1">
        <v>0</v>
      </c>
      <c r="O15" s="1">
        <v>0</v>
      </c>
      <c r="P15" s="2"/>
      <c r="Q15" s="2"/>
      <c r="R15" s="1">
        <v>0</v>
      </c>
      <c r="S15" s="1">
        <v>0</v>
      </c>
      <c r="T15" s="1">
        <v>0</v>
      </c>
      <c r="U15" s="1">
        <v>4</v>
      </c>
      <c r="V15" s="1">
        <v>0</v>
      </c>
      <c r="W15" s="2"/>
      <c r="X15" s="2"/>
      <c r="Y15" s="1">
        <v>0</v>
      </c>
      <c r="Z15" s="1">
        <v>0</v>
      </c>
      <c r="AA15" s="1">
        <v>0</v>
      </c>
      <c r="AB15" s="1">
        <v>0</v>
      </c>
      <c r="AC15" s="1">
        <v>4</v>
      </c>
      <c r="AD15" s="2"/>
      <c r="AE15" s="2"/>
      <c r="AF15" s="1">
        <v>0</v>
      </c>
      <c r="AG15" s="1">
        <v>0</v>
      </c>
    </row>
    <row r="16" spans="1:33">
      <c r="A16" s="1">
        <v>14</v>
      </c>
      <c r="B16" s="1" t="s">
        <v>16</v>
      </c>
      <c r="C16" s="1">
        <f t="shared" si="0"/>
        <v>33</v>
      </c>
      <c r="D16" s="1">
        <v>0</v>
      </c>
      <c r="E16" s="1">
        <v>0</v>
      </c>
      <c r="F16" s="1">
        <v>0</v>
      </c>
      <c r="G16" s="2"/>
      <c r="H16" s="2"/>
      <c r="I16" s="2"/>
      <c r="J16" s="2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/>
      <c r="Q16" s="2"/>
      <c r="R16" s="1">
        <v>0</v>
      </c>
      <c r="S16" s="1">
        <v>0</v>
      </c>
      <c r="T16" s="1">
        <v>0</v>
      </c>
      <c r="U16" s="1">
        <v>1</v>
      </c>
      <c r="V16" s="1">
        <v>16</v>
      </c>
      <c r="W16" s="2"/>
      <c r="X16" s="2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2"/>
      <c r="AE16" s="2"/>
      <c r="AF16" s="1">
        <v>16</v>
      </c>
      <c r="AG16" s="1">
        <v>0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AG16"/>
  <sheetViews>
    <sheetView workbookViewId="0">
      <selection activeCell="C8" sqref="C8"/>
    </sheetView>
  </sheetViews>
  <sheetFormatPr baseColWidth="10" defaultColWidth="8.83203125" defaultRowHeight="15"/>
  <cols>
    <col min="3" max="3" width="15.33203125" customWidth="1"/>
    <col min="4" max="17" width="8.83203125" customWidth="1"/>
    <col min="18" max="18" width="7.83203125" customWidth="1"/>
    <col min="19" max="33" width="8.83203125" customWidth="1"/>
    <col min="35" max="35" width="0" hidden="1" customWidth="1"/>
  </cols>
  <sheetData>
    <row r="1" spans="1:33" ht="27">
      <c r="A1" s="59" t="s">
        <v>19</v>
      </c>
      <c r="B1" s="59"/>
      <c r="C1" s="43" t="s">
        <v>139</v>
      </c>
      <c r="D1" s="53">
        <v>45383</v>
      </c>
      <c r="E1" s="53">
        <v>45384</v>
      </c>
      <c r="F1" s="53">
        <v>45385</v>
      </c>
      <c r="G1" s="53">
        <v>45386</v>
      </c>
      <c r="H1" s="53">
        <v>45387</v>
      </c>
      <c r="I1" s="53">
        <v>45388</v>
      </c>
      <c r="J1" s="53">
        <v>45389</v>
      </c>
      <c r="K1" s="53">
        <v>45390</v>
      </c>
      <c r="L1" s="53">
        <v>45391</v>
      </c>
      <c r="M1" s="53">
        <v>45392</v>
      </c>
      <c r="N1" s="53">
        <v>45393</v>
      </c>
      <c r="O1" s="53">
        <v>45394</v>
      </c>
      <c r="P1" s="53">
        <v>45395</v>
      </c>
      <c r="Q1" s="53">
        <v>45396</v>
      </c>
      <c r="R1" s="53">
        <v>45397</v>
      </c>
      <c r="S1" s="53">
        <v>45398</v>
      </c>
      <c r="T1" s="53">
        <v>45399</v>
      </c>
      <c r="U1" s="53">
        <v>45400</v>
      </c>
      <c r="V1" s="53">
        <v>45401</v>
      </c>
      <c r="W1" s="53">
        <v>45402</v>
      </c>
      <c r="X1" s="53">
        <v>45403</v>
      </c>
      <c r="Y1" s="53">
        <v>45404</v>
      </c>
      <c r="Z1" s="53">
        <v>45405</v>
      </c>
      <c r="AA1" s="53">
        <v>45406</v>
      </c>
      <c r="AB1" s="53">
        <v>45407</v>
      </c>
      <c r="AC1" s="53">
        <v>45408</v>
      </c>
      <c r="AD1" s="53">
        <v>45409</v>
      </c>
      <c r="AE1" s="53">
        <v>45410</v>
      </c>
      <c r="AF1" s="53">
        <v>45411</v>
      </c>
      <c r="AG1" s="53">
        <v>45412</v>
      </c>
    </row>
    <row r="2" spans="1:33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 hidden="1">
      <c r="A3" s="1">
        <v>1</v>
      </c>
      <c r="B3" s="1" t="s">
        <v>3</v>
      </c>
      <c r="C3" s="1">
        <f t="shared" ref="C3:C16" si="0">SUM(D3:AG3)</f>
        <v>0</v>
      </c>
      <c r="D3" s="1">
        <v>0</v>
      </c>
      <c r="E3" s="1">
        <v>0</v>
      </c>
      <c r="F3" s="1">
        <v>0</v>
      </c>
      <c r="G3" s="2"/>
      <c r="H3" s="2"/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1">
        <v>0</v>
      </c>
      <c r="AG3" s="1">
        <v>0</v>
      </c>
    </row>
    <row r="4" spans="1:33" hidden="1">
      <c r="A4" s="1">
        <v>2</v>
      </c>
      <c r="B4" s="1" t="s">
        <v>4</v>
      </c>
      <c r="C4" s="1">
        <f t="shared" si="0"/>
        <v>5</v>
      </c>
      <c r="D4" s="1">
        <v>0</v>
      </c>
      <c r="E4" s="1">
        <v>0</v>
      </c>
      <c r="F4" s="1">
        <v>0</v>
      </c>
      <c r="G4" s="2"/>
      <c r="H4" s="2"/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5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1">
        <v>0</v>
      </c>
      <c r="AG4" s="1">
        <v>0</v>
      </c>
    </row>
    <row r="5" spans="1:33" hidden="1">
      <c r="A5" s="1">
        <v>3</v>
      </c>
      <c r="B5" s="1" t="s">
        <v>5</v>
      </c>
      <c r="C5" s="1">
        <f t="shared" si="0"/>
        <v>0</v>
      </c>
      <c r="D5" s="1">
        <v>0</v>
      </c>
      <c r="E5" s="1">
        <v>0</v>
      </c>
      <c r="F5" s="1">
        <v>0</v>
      </c>
      <c r="G5" s="2"/>
      <c r="H5" s="2"/>
      <c r="I5" s="2"/>
      <c r="J5" s="2"/>
      <c r="K5" s="1">
        <v>0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2"/>
      <c r="AE5" s="2"/>
      <c r="AF5" s="1">
        <v>0</v>
      </c>
      <c r="AG5" s="1">
        <v>0</v>
      </c>
    </row>
    <row r="6" spans="1:33" hidden="1">
      <c r="A6" s="1">
        <v>4</v>
      </c>
      <c r="B6" s="1" t="s">
        <v>6</v>
      </c>
      <c r="C6" s="1">
        <f t="shared" si="0"/>
        <v>11</v>
      </c>
      <c r="D6" s="1">
        <v>0</v>
      </c>
      <c r="E6" s="1">
        <v>0</v>
      </c>
      <c r="F6" s="1">
        <v>0</v>
      </c>
      <c r="G6" s="2"/>
      <c r="H6" s="2"/>
      <c r="I6" s="2"/>
      <c r="J6" s="2"/>
      <c r="K6" s="1">
        <v>0</v>
      </c>
      <c r="L6" s="1">
        <v>0</v>
      </c>
      <c r="M6" s="1">
        <v>0</v>
      </c>
      <c r="N6" s="1">
        <v>6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5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2"/>
      <c r="AE6" s="2"/>
      <c r="AF6" s="1">
        <v>0</v>
      </c>
      <c r="AG6" s="1">
        <v>0</v>
      </c>
    </row>
    <row r="7" spans="1:33" hidden="1">
      <c r="A7" s="1">
        <v>5</v>
      </c>
      <c r="B7" s="1" t="s">
        <v>7</v>
      </c>
      <c r="C7" s="1">
        <f t="shared" si="0"/>
        <v>5</v>
      </c>
      <c r="D7" s="1">
        <v>0</v>
      </c>
      <c r="E7" s="1">
        <v>0</v>
      </c>
      <c r="F7" s="1">
        <v>0</v>
      </c>
      <c r="G7" s="2"/>
      <c r="H7" s="2"/>
      <c r="I7" s="2"/>
      <c r="J7" s="2"/>
      <c r="K7" s="1">
        <v>0</v>
      </c>
      <c r="L7" s="1">
        <v>0</v>
      </c>
      <c r="M7" s="1">
        <v>0</v>
      </c>
      <c r="N7" s="1">
        <v>0</v>
      </c>
      <c r="O7" s="1">
        <v>0</v>
      </c>
      <c r="P7" s="2"/>
      <c r="Q7" s="2"/>
      <c r="R7" s="1">
        <v>0</v>
      </c>
      <c r="S7" s="1">
        <v>0</v>
      </c>
      <c r="T7" s="1">
        <v>0</v>
      </c>
      <c r="U7" s="1">
        <v>5</v>
      </c>
      <c r="V7" s="1">
        <v>0</v>
      </c>
      <c r="W7" s="2"/>
      <c r="X7" s="2"/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"/>
      <c r="AE7" s="2"/>
      <c r="AF7" s="1">
        <v>0</v>
      </c>
      <c r="AG7" s="1">
        <v>0</v>
      </c>
    </row>
    <row r="8" spans="1:33">
      <c r="A8" s="1">
        <v>6</v>
      </c>
      <c r="B8" s="1" t="s">
        <v>8</v>
      </c>
      <c r="C8" s="1">
        <f t="shared" si="0"/>
        <v>19</v>
      </c>
      <c r="D8" s="1">
        <v>1</v>
      </c>
      <c r="E8" s="1">
        <v>2</v>
      </c>
      <c r="F8" s="1">
        <v>1</v>
      </c>
      <c r="G8" s="2"/>
      <c r="H8" s="2"/>
      <c r="I8" s="2"/>
      <c r="J8" s="2"/>
      <c r="K8" s="1">
        <v>2</v>
      </c>
      <c r="L8" s="1">
        <v>3</v>
      </c>
      <c r="M8" s="1">
        <v>1</v>
      </c>
      <c r="N8" s="1">
        <v>0</v>
      </c>
      <c r="O8" s="1">
        <v>1</v>
      </c>
      <c r="P8" s="2"/>
      <c r="Q8" s="2"/>
      <c r="R8" s="1">
        <v>1</v>
      </c>
      <c r="S8" s="1">
        <v>1</v>
      </c>
      <c r="T8" s="1">
        <v>0</v>
      </c>
      <c r="U8" s="1">
        <v>2</v>
      </c>
      <c r="V8" s="1">
        <v>0</v>
      </c>
      <c r="W8" s="2"/>
      <c r="X8" s="2"/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2"/>
      <c r="AE8" s="2"/>
      <c r="AF8" s="1">
        <v>0</v>
      </c>
      <c r="AG8" s="1">
        <v>0</v>
      </c>
    </row>
    <row r="9" spans="1:33">
      <c r="A9" s="1">
        <v>7</v>
      </c>
      <c r="B9" s="1" t="s">
        <v>9</v>
      </c>
      <c r="C9" s="1">
        <f t="shared" si="0"/>
        <v>23</v>
      </c>
      <c r="D9" s="1">
        <v>1</v>
      </c>
      <c r="E9" s="1">
        <v>0</v>
      </c>
      <c r="F9" s="1">
        <v>0</v>
      </c>
      <c r="G9" s="2"/>
      <c r="H9" s="2"/>
      <c r="I9" s="2"/>
      <c r="J9" s="2"/>
      <c r="K9" s="1">
        <v>1</v>
      </c>
      <c r="L9" s="1">
        <v>0</v>
      </c>
      <c r="M9" s="1">
        <v>0</v>
      </c>
      <c r="N9" s="1">
        <v>1</v>
      </c>
      <c r="O9" s="1">
        <v>1</v>
      </c>
      <c r="P9" s="2"/>
      <c r="Q9" s="2"/>
      <c r="R9" s="1">
        <v>1</v>
      </c>
      <c r="S9" s="1">
        <v>1</v>
      </c>
      <c r="T9" s="1">
        <v>1</v>
      </c>
      <c r="U9" s="1">
        <v>1</v>
      </c>
      <c r="V9" s="1">
        <v>0</v>
      </c>
      <c r="W9" s="2"/>
      <c r="X9" s="2"/>
      <c r="Y9" s="1">
        <v>2</v>
      </c>
      <c r="Z9" s="1">
        <v>7</v>
      </c>
      <c r="AA9" s="1">
        <v>0</v>
      </c>
      <c r="AB9" s="1">
        <v>6</v>
      </c>
      <c r="AC9" s="1">
        <v>0</v>
      </c>
      <c r="AD9" s="2"/>
      <c r="AE9" s="2"/>
      <c r="AF9" s="1">
        <v>0</v>
      </c>
      <c r="AG9" s="1">
        <v>0</v>
      </c>
    </row>
    <row r="10" spans="1:33">
      <c r="A10" s="1">
        <v>8</v>
      </c>
      <c r="B10" s="1" t="s">
        <v>10</v>
      </c>
      <c r="C10" s="1">
        <f t="shared" si="0"/>
        <v>11</v>
      </c>
      <c r="D10" s="1">
        <v>0</v>
      </c>
      <c r="E10" s="1">
        <v>0</v>
      </c>
      <c r="F10" s="1">
        <v>0</v>
      </c>
      <c r="G10" s="2"/>
      <c r="H10" s="2"/>
      <c r="I10" s="2"/>
      <c r="J10" s="2"/>
      <c r="K10" s="1">
        <v>0</v>
      </c>
      <c r="L10" s="1">
        <v>0</v>
      </c>
      <c r="M10" s="1">
        <v>0</v>
      </c>
      <c r="N10" s="1">
        <v>6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5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1">
        <v>0</v>
      </c>
      <c r="AG10" s="1">
        <v>0</v>
      </c>
    </row>
    <row r="11" spans="1:33">
      <c r="A11" s="1">
        <v>9</v>
      </c>
      <c r="B11" s="1" t="s">
        <v>11</v>
      </c>
      <c r="C11" s="1">
        <f t="shared" si="0"/>
        <v>8</v>
      </c>
      <c r="D11" s="1">
        <v>0</v>
      </c>
      <c r="E11" s="1">
        <v>0</v>
      </c>
      <c r="F11" s="1">
        <v>0</v>
      </c>
      <c r="G11" s="2"/>
      <c r="H11" s="2"/>
      <c r="I11" s="2"/>
      <c r="J11" s="2"/>
      <c r="K11" s="1">
        <v>1</v>
      </c>
      <c r="L11" s="1">
        <v>2</v>
      </c>
      <c r="M11" s="1">
        <v>0</v>
      </c>
      <c r="N11" s="1">
        <v>0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">
        <v>5</v>
      </c>
      <c r="V11" s="1">
        <v>0</v>
      </c>
      <c r="W11" s="2"/>
      <c r="X11" s="2"/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2"/>
      <c r="AE11" s="2"/>
      <c r="AF11" s="1">
        <v>0</v>
      </c>
      <c r="AG11" s="1">
        <v>0</v>
      </c>
    </row>
    <row r="12" spans="1:33">
      <c r="A12" s="1">
        <v>10</v>
      </c>
      <c r="B12" s="1" t="s">
        <v>12</v>
      </c>
      <c r="C12" s="1">
        <f t="shared" si="0"/>
        <v>22</v>
      </c>
      <c r="D12" s="1">
        <v>0</v>
      </c>
      <c r="E12" s="1">
        <v>0</v>
      </c>
      <c r="F12" s="1">
        <v>0</v>
      </c>
      <c r="G12" s="2"/>
      <c r="H12" s="2"/>
      <c r="I12" s="2"/>
      <c r="J12" s="2"/>
      <c r="K12" s="1">
        <v>0</v>
      </c>
      <c r="L12" s="1">
        <v>0</v>
      </c>
      <c r="M12" s="1">
        <v>0</v>
      </c>
      <c r="N12" s="1">
        <v>6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>
        <v>16</v>
      </c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1">
        <v>0</v>
      </c>
      <c r="AG12" s="1">
        <v>0</v>
      </c>
    </row>
    <row r="13" spans="1:33">
      <c r="A13" s="1">
        <v>11</v>
      </c>
      <c r="B13" s="1" t="s">
        <v>13</v>
      </c>
      <c r="C13" s="1">
        <f t="shared" si="0"/>
        <v>60</v>
      </c>
      <c r="D13" s="1">
        <v>0</v>
      </c>
      <c r="E13" s="1">
        <v>0</v>
      </c>
      <c r="F13" s="1">
        <v>0</v>
      </c>
      <c r="G13" s="2"/>
      <c r="H13" s="2"/>
      <c r="I13" s="2"/>
      <c r="J13" s="2"/>
      <c r="K13" s="1">
        <v>0</v>
      </c>
      <c r="L13" s="1">
        <v>5</v>
      </c>
      <c r="M13" s="1">
        <v>0</v>
      </c>
      <c r="N13" s="1">
        <v>0</v>
      </c>
      <c r="O13" s="1">
        <v>0</v>
      </c>
      <c r="P13" s="2"/>
      <c r="Q13" s="2"/>
      <c r="R13" s="1">
        <v>0</v>
      </c>
      <c r="S13" s="1">
        <v>8</v>
      </c>
      <c r="T13" s="1">
        <v>9</v>
      </c>
      <c r="U13" s="1">
        <v>10</v>
      </c>
      <c r="V13" s="1">
        <v>8</v>
      </c>
      <c r="W13" s="2"/>
      <c r="X13" s="2"/>
      <c r="Y13" s="1">
        <v>0</v>
      </c>
      <c r="Z13" s="1">
        <v>0</v>
      </c>
      <c r="AA13" s="1">
        <v>0</v>
      </c>
      <c r="AB13" s="1">
        <v>8</v>
      </c>
      <c r="AC13" s="1">
        <v>6</v>
      </c>
      <c r="AD13" s="2"/>
      <c r="AE13" s="2"/>
      <c r="AF13" s="1">
        <v>6</v>
      </c>
      <c r="AG13" s="1">
        <v>0</v>
      </c>
    </row>
    <row r="14" spans="1:33">
      <c r="A14" s="1">
        <v>12</v>
      </c>
      <c r="B14" s="1" t="s">
        <v>14</v>
      </c>
      <c r="C14" s="1">
        <f t="shared" si="0"/>
        <v>18</v>
      </c>
      <c r="D14" s="1">
        <v>0</v>
      </c>
      <c r="E14" s="1">
        <v>0</v>
      </c>
      <c r="F14" s="1">
        <v>6</v>
      </c>
      <c r="G14" s="2"/>
      <c r="H14" s="2"/>
      <c r="I14" s="2"/>
      <c r="J14" s="2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/>
      <c r="Q14" s="2"/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2"/>
      <c r="X14" s="2"/>
      <c r="Y14" s="1">
        <v>0</v>
      </c>
      <c r="Z14" s="1">
        <v>0</v>
      </c>
      <c r="AA14" s="1">
        <v>0</v>
      </c>
      <c r="AB14" s="1">
        <v>0</v>
      </c>
      <c r="AC14" s="1">
        <v>6</v>
      </c>
      <c r="AD14" s="2"/>
      <c r="AE14" s="2"/>
      <c r="AF14" s="1">
        <v>6</v>
      </c>
      <c r="AG14" s="1">
        <v>0</v>
      </c>
    </row>
    <row r="15" spans="1:33">
      <c r="A15" s="1">
        <v>13</v>
      </c>
      <c r="B15" s="1" t="s">
        <v>15</v>
      </c>
      <c r="C15" s="1">
        <f t="shared" si="0"/>
        <v>3</v>
      </c>
      <c r="D15" s="1">
        <v>0</v>
      </c>
      <c r="E15" s="1">
        <v>0</v>
      </c>
      <c r="F15" s="1">
        <v>0</v>
      </c>
      <c r="G15" s="2"/>
      <c r="H15" s="2"/>
      <c r="I15" s="2"/>
      <c r="J15" s="2"/>
      <c r="K15" s="1">
        <v>0</v>
      </c>
      <c r="L15" s="1">
        <v>3</v>
      </c>
      <c r="M15" s="1">
        <v>0</v>
      </c>
      <c r="N15" s="1">
        <v>0</v>
      </c>
      <c r="O15" s="1">
        <v>0</v>
      </c>
      <c r="P15" s="2"/>
      <c r="Q15" s="2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2"/>
      <c r="X15" s="2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2"/>
      <c r="AE15" s="2"/>
      <c r="AF15" s="1">
        <v>0</v>
      </c>
      <c r="AG15" s="1">
        <v>0</v>
      </c>
    </row>
    <row r="16" spans="1:33">
      <c r="A16" s="1">
        <v>14</v>
      </c>
      <c r="B16" s="1" t="s">
        <v>16</v>
      </c>
      <c r="C16" s="1">
        <f t="shared" si="0"/>
        <v>22</v>
      </c>
      <c r="D16" s="1">
        <v>0</v>
      </c>
      <c r="E16" s="1">
        <v>0</v>
      </c>
      <c r="F16" s="1">
        <v>0</v>
      </c>
      <c r="G16" s="2"/>
      <c r="H16" s="2"/>
      <c r="I16" s="2">
        <v>16</v>
      </c>
      <c r="J16" s="2"/>
      <c r="K16" s="1">
        <v>0</v>
      </c>
      <c r="L16" s="1">
        <v>6</v>
      </c>
      <c r="M16" s="1">
        <v>0</v>
      </c>
      <c r="N16" s="1">
        <v>0</v>
      </c>
      <c r="O16" s="1">
        <v>0</v>
      </c>
      <c r="P16" s="2"/>
      <c r="Q16" s="2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2"/>
      <c r="X16" s="2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2"/>
      <c r="AE16" s="2"/>
      <c r="AF16" s="1">
        <v>0</v>
      </c>
      <c r="AG16" s="1">
        <v>0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27"/>
  <sheetViews>
    <sheetView topLeftCell="A16" zoomScaleNormal="100" workbookViewId="0">
      <selection activeCell="AJ9" sqref="AJ9"/>
    </sheetView>
  </sheetViews>
  <sheetFormatPr baseColWidth="10" defaultColWidth="8.83203125" defaultRowHeight="15"/>
  <cols>
    <col min="3" max="32" width="8.83203125" hidden="1" customWidth="1"/>
    <col min="33" max="33" width="8.83203125" customWidth="1"/>
  </cols>
  <sheetData>
    <row r="1" spans="1:33" ht="27">
      <c r="A1" s="55" t="s">
        <v>0</v>
      </c>
      <c r="B1" s="55"/>
      <c r="C1" s="53">
        <v>45413</v>
      </c>
      <c r="D1" s="53">
        <v>45414</v>
      </c>
      <c r="E1" s="53">
        <v>45415</v>
      </c>
      <c r="F1" s="53">
        <v>45416</v>
      </c>
      <c r="G1" s="53">
        <v>45417</v>
      </c>
      <c r="H1" s="53">
        <v>45418</v>
      </c>
      <c r="I1" s="53">
        <v>45419</v>
      </c>
      <c r="J1" s="53">
        <v>45420</v>
      </c>
      <c r="K1" s="53">
        <v>45421</v>
      </c>
      <c r="L1" s="53">
        <v>45422</v>
      </c>
      <c r="M1" s="53">
        <v>45423</v>
      </c>
      <c r="N1" s="53">
        <v>45424</v>
      </c>
      <c r="O1" s="53">
        <v>45425</v>
      </c>
      <c r="P1" s="53">
        <v>45426</v>
      </c>
      <c r="Q1" s="53">
        <v>45427</v>
      </c>
      <c r="R1" s="53">
        <v>45428</v>
      </c>
      <c r="S1" s="53">
        <v>45429</v>
      </c>
      <c r="T1" s="53">
        <v>45430</v>
      </c>
      <c r="U1" s="53">
        <v>45431</v>
      </c>
      <c r="V1" s="53">
        <v>45432</v>
      </c>
      <c r="W1" s="53">
        <v>45433</v>
      </c>
      <c r="X1" s="53">
        <v>45434</v>
      </c>
      <c r="Y1" s="53">
        <v>45435</v>
      </c>
      <c r="Z1" s="53">
        <v>45436</v>
      </c>
      <c r="AA1" s="53">
        <v>45437</v>
      </c>
      <c r="AB1" s="53">
        <v>45438</v>
      </c>
      <c r="AC1" s="53">
        <v>45439</v>
      </c>
      <c r="AD1" s="53">
        <v>45440</v>
      </c>
      <c r="AE1" s="53">
        <v>45441</v>
      </c>
      <c r="AF1" s="53">
        <v>45442</v>
      </c>
      <c r="AG1" s="53">
        <v>45443</v>
      </c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2"/>
      <c r="D3" s="1" t="s">
        <v>26</v>
      </c>
      <c r="E3" s="1" t="s">
        <v>26</v>
      </c>
      <c r="F3" s="2"/>
      <c r="G3" s="2"/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2"/>
      <c r="N3" s="2"/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2"/>
      <c r="U3" s="2"/>
      <c r="V3" s="1" t="s">
        <v>26</v>
      </c>
      <c r="W3" s="1" t="s">
        <v>166</v>
      </c>
      <c r="X3" s="1" t="s">
        <v>121</v>
      </c>
      <c r="Y3" s="1" t="s">
        <v>121</v>
      </c>
      <c r="Z3" s="1" t="s">
        <v>27</v>
      </c>
      <c r="AA3" s="2"/>
      <c r="AB3" s="2"/>
      <c r="AC3" s="1" t="s">
        <v>27</v>
      </c>
      <c r="AD3" s="1" t="s">
        <v>27</v>
      </c>
      <c r="AE3" s="1" t="s">
        <v>27</v>
      </c>
      <c r="AF3" s="1" t="s">
        <v>27</v>
      </c>
      <c r="AG3" s="1" t="s">
        <v>27</v>
      </c>
    </row>
    <row r="4" spans="1:33">
      <c r="A4" s="1">
        <v>2</v>
      </c>
      <c r="B4" s="1" t="s">
        <v>4</v>
      </c>
      <c r="C4" s="2"/>
      <c r="D4" s="1" t="s">
        <v>26</v>
      </c>
      <c r="E4" s="1" t="s">
        <v>26</v>
      </c>
      <c r="F4" s="2"/>
      <c r="G4" s="2"/>
      <c r="H4" s="1" t="s">
        <v>26</v>
      </c>
      <c r="I4" s="1" t="s">
        <v>47</v>
      </c>
      <c r="J4" s="1" t="s">
        <v>29</v>
      </c>
      <c r="K4" s="1" t="s">
        <v>27</v>
      </c>
      <c r="L4" s="1" t="s">
        <v>27</v>
      </c>
      <c r="M4" s="2"/>
      <c r="N4" s="2"/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2"/>
      <c r="U4" s="2"/>
      <c r="V4" s="1" t="s">
        <v>26</v>
      </c>
      <c r="W4" s="1" t="s">
        <v>26</v>
      </c>
      <c r="X4" s="1" t="s">
        <v>26</v>
      </c>
      <c r="Y4" s="1" t="s">
        <v>26</v>
      </c>
      <c r="Z4" s="1" t="s">
        <v>26</v>
      </c>
      <c r="AA4" s="2"/>
      <c r="AB4" s="2"/>
      <c r="AC4" s="1" t="s">
        <v>26</v>
      </c>
      <c r="AD4" s="1" t="s">
        <v>26</v>
      </c>
      <c r="AE4" s="1" t="s">
        <v>26</v>
      </c>
      <c r="AF4" s="1" t="s">
        <v>26</v>
      </c>
      <c r="AG4" s="1" t="s">
        <v>26</v>
      </c>
    </row>
    <row r="5" spans="1:33">
      <c r="A5" s="1">
        <v>3</v>
      </c>
      <c r="B5" s="1" t="s">
        <v>5</v>
      </c>
      <c r="C5" s="2"/>
      <c r="D5" s="1" t="s">
        <v>27</v>
      </c>
      <c r="E5" s="1" t="s">
        <v>27</v>
      </c>
      <c r="F5" s="2"/>
      <c r="G5" s="2"/>
      <c r="H5" s="1" t="s">
        <v>47</v>
      </c>
      <c r="I5" s="1" t="s">
        <v>161</v>
      </c>
      <c r="J5" s="1" t="s">
        <v>29</v>
      </c>
      <c r="K5" s="1" t="s">
        <v>27</v>
      </c>
      <c r="L5" s="1" t="s">
        <v>27</v>
      </c>
      <c r="M5" s="2"/>
      <c r="N5" s="2"/>
      <c r="O5" s="1" t="s">
        <v>27</v>
      </c>
      <c r="P5" s="1" t="s">
        <v>27</v>
      </c>
      <c r="Q5" s="1" t="s">
        <v>27</v>
      </c>
      <c r="R5" s="1" t="s">
        <v>27</v>
      </c>
      <c r="S5" s="1" t="s">
        <v>27</v>
      </c>
      <c r="T5" s="2"/>
      <c r="U5" s="2"/>
      <c r="V5" s="1" t="s">
        <v>27</v>
      </c>
      <c r="W5" s="1" t="s">
        <v>165</v>
      </c>
      <c r="X5" s="1" t="s">
        <v>121</v>
      </c>
      <c r="Y5" s="1" t="s">
        <v>121</v>
      </c>
      <c r="Z5" s="1" t="s">
        <v>27</v>
      </c>
      <c r="AA5" s="2"/>
      <c r="AB5" s="2"/>
      <c r="AC5" s="1" t="s">
        <v>27</v>
      </c>
      <c r="AD5" s="1" t="s">
        <v>27</v>
      </c>
      <c r="AE5" s="1" t="s">
        <v>27</v>
      </c>
      <c r="AF5" s="1" t="s">
        <v>27</v>
      </c>
      <c r="AG5" s="1" t="s">
        <v>27</v>
      </c>
    </row>
    <row r="6" spans="1:33">
      <c r="A6" s="1">
        <v>4</v>
      </c>
      <c r="B6" s="1" t="s">
        <v>6</v>
      </c>
      <c r="C6" s="2"/>
      <c r="D6" s="1" t="s">
        <v>26</v>
      </c>
      <c r="E6" s="1" t="s">
        <v>26</v>
      </c>
      <c r="F6" s="2"/>
      <c r="G6" s="2"/>
      <c r="H6" s="1" t="s">
        <v>26</v>
      </c>
      <c r="I6" s="1" t="s">
        <v>47</v>
      </c>
      <c r="J6" s="1" t="s">
        <v>29</v>
      </c>
      <c r="K6" s="1" t="s">
        <v>27</v>
      </c>
      <c r="L6" s="1" t="s">
        <v>23</v>
      </c>
      <c r="M6" s="2"/>
      <c r="N6" s="2"/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2"/>
      <c r="U6" s="2"/>
      <c r="V6" s="1" t="s">
        <v>26</v>
      </c>
      <c r="W6" s="1" t="s">
        <v>26</v>
      </c>
      <c r="X6" s="1" t="s">
        <v>26</v>
      </c>
      <c r="Y6" s="1" t="s">
        <v>26</v>
      </c>
      <c r="Z6" s="1" t="s">
        <v>26</v>
      </c>
      <c r="AA6" s="2"/>
      <c r="AB6" s="2"/>
      <c r="AC6" s="1" t="s">
        <v>26</v>
      </c>
      <c r="AD6" s="1" t="s">
        <v>26</v>
      </c>
      <c r="AE6" s="1" t="s">
        <v>26</v>
      </c>
      <c r="AF6" s="1" t="s">
        <v>26</v>
      </c>
      <c r="AG6" s="1" t="s">
        <v>26</v>
      </c>
    </row>
    <row r="7" spans="1:33">
      <c r="A7" s="1">
        <v>5</v>
      </c>
      <c r="B7" s="1" t="s">
        <v>7</v>
      </c>
      <c r="C7" s="2"/>
      <c r="D7" s="1" t="s">
        <v>26</v>
      </c>
      <c r="E7" s="1" t="s">
        <v>26</v>
      </c>
      <c r="F7" s="2"/>
      <c r="G7" s="2"/>
      <c r="H7" s="1" t="s">
        <v>26</v>
      </c>
      <c r="I7" s="1" t="s">
        <v>26</v>
      </c>
      <c r="J7" s="1" t="s">
        <v>26</v>
      </c>
      <c r="K7" s="1" t="s">
        <v>26</v>
      </c>
      <c r="L7" s="1" t="s">
        <v>26</v>
      </c>
      <c r="M7" s="2"/>
      <c r="N7" s="2"/>
      <c r="O7" s="1" t="s">
        <v>26</v>
      </c>
      <c r="P7" s="1" t="s">
        <v>27</v>
      </c>
      <c r="Q7" s="1" t="s">
        <v>27</v>
      </c>
      <c r="R7" s="1" t="s">
        <v>27</v>
      </c>
      <c r="S7" s="1" t="s">
        <v>164</v>
      </c>
      <c r="T7" s="2"/>
      <c r="U7" s="2"/>
      <c r="V7" s="1" t="s">
        <v>26</v>
      </c>
      <c r="W7" s="1" t="s">
        <v>26</v>
      </c>
      <c r="X7" s="1" t="s">
        <v>26</v>
      </c>
      <c r="Y7" s="1" t="s">
        <v>26</v>
      </c>
      <c r="Z7" s="1" t="s">
        <v>26</v>
      </c>
      <c r="AA7" s="2"/>
      <c r="AB7" s="2"/>
      <c r="AC7" s="1" t="s">
        <v>26</v>
      </c>
      <c r="AD7" s="1" t="s">
        <v>26</v>
      </c>
      <c r="AE7" s="1" t="s">
        <v>26</v>
      </c>
      <c r="AF7" s="1" t="s">
        <v>26</v>
      </c>
      <c r="AG7" s="1" t="s">
        <v>26</v>
      </c>
    </row>
    <row r="8" spans="1:33">
      <c r="A8" s="1">
        <v>6</v>
      </c>
      <c r="B8" s="1" t="s">
        <v>8</v>
      </c>
      <c r="C8" s="12"/>
      <c r="D8" s="10" t="s">
        <v>155</v>
      </c>
      <c r="E8" s="10" t="s">
        <v>155</v>
      </c>
      <c r="F8" s="2"/>
      <c r="G8" s="2"/>
      <c r="H8" s="10" t="s">
        <v>155</v>
      </c>
      <c r="I8" s="10" t="s">
        <v>155</v>
      </c>
      <c r="J8" s="10" t="s">
        <v>155</v>
      </c>
      <c r="K8" s="1" t="s">
        <v>27</v>
      </c>
      <c r="L8" s="1" t="s">
        <v>27</v>
      </c>
      <c r="M8" s="2"/>
      <c r="N8" s="2"/>
      <c r="O8" s="1" t="s">
        <v>27</v>
      </c>
      <c r="P8" s="1" t="s">
        <v>27</v>
      </c>
      <c r="Q8" s="1" t="s">
        <v>27</v>
      </c>
      <c r="R8" s="1" t="s">
        <v>27</v>
      </c>
      <c r="S8" s="1" t="s">
        <v>27</v>
      </c>
      <c r="T8" s="2"/>
      <c r="U8" s="2"/>
      <c r="V8" s="1" t="s">
        <v>27</v>
      </c>
      <c r="W8" s="1" t="s">
        <v>27</v>
      </c>
      <c r="X8" s="1" t="s">
        <v>27</v>
      </c>
      <c r="Y8" s="1" t="s">
        <v>27</v>
      </c>
      <c r="Z8" s="1" t="s">
        <v>27</v>
      </c>
      <c r="AA8" s="2"/>
      <c r="AB8" s="2"/>
      <c r="AC8" s="1" t="s">
        <v>27</v>
      </c>
      <c r="AD8" s="1" t="s">
        <v>27</v>
      </c>
      <c r="AE8" s="1" t="s">
        <v>27</v>
      </c>
      <c r="AF8" s="1" t="s">
        <v>27</v>
      </c>
      <c r="AG8" s="1" t="s">
        <v>175</v>
      </c>
    </row>
    <row r="9" spans="1:33">
      <c r="A9" s="1">
        <v>7</v>
      </c>
      <c r="B9" s="1" t="s">
        <v>9</v>
      </c>
      <c r="C9" s="2"/>
      <c r="D9" s="1" t="s">
        <v>27</v>
      </c>
      <c r="E9" s="1" t="s">
        <v>27</v>
      </c>
      <c r="F9" s="2"/>
      <c r="G9" s="2"/>
      <c r="H9" s="1" t="s">
        <v>160</v>
      </c>
      <c r="I9" s="1" t="s">
        <v>47</v>
      </c>
      <c r="J9" s="1" t="s">
        <v>29</v>
      </c>
      <c r="K9" s="1" t="s">
        <v>27</v>
      </c>
      <c r="L9" s="1" t="s">
        <v>27</v>
      </c>
      <c r="M9" s="2"/>
      <c r="N9" s="2"/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2"/>
      <c r="U9" s="2"/>
      <c r="V9" s="1" t="s">
        <v>26</v>
      </c>
      <c r="W9" s="1" t="s">
        <v>26</v>
      </c>
      <c r="X9" s="1" t="s">
        <v>26</v>
      </c>
      <c r="Y9" s="1" t="s">
        <v>26</v>
      </c>
      <c r="Z9" s="1" t="s">
        <v>26</v>
      </c>
      <c r="AA9" s="2"/>
      <c r="AB9" s="2"/>
      <c r="AC9" s="1" t="s">
        <v>26</v>
      </c>
      <c r="AD9" s="1" t="s">
        <v>174</v>
      </c>
      <c r="AE9" s="1" t="s">
        <v>27</v>
      </c>
      <c r="AF9" s="1" t="s">
        <v>27</v>
      </c>
      <c r="AG9" s="1" t="s">
        <v>27</v>
      </c>
    </row>
    <row r="10" spans="1:33">
      <c r="A10" s="1">
        <v>8</v>
      </c>
      <c r="B10" s="1" t="s">
        <v>10</v>
      </c>
      <c r="C10" s="2"/>
      <c r="D10" s="1" t="s">
        <v>26</v>
      </c>
      <c r="E10" s="1" t="s">
        <v>26</v>
      </c>
      <c r="F10" s="2"/>
      <c r="G10" s="2"/>
      <c r="H10" s="1" t="s">
        <v>26</v>
      </c>
      <c r="I10" s="1" t="s">
        <v>47</v>
      </c>
      <c r="J10" s="11" t="s">
        <v>150</v>
      </c>
      <c r="K10" s="1" t="s">
        <v>27</v>
      </c>
      <c r="L10" s="11" t="s">
        <v>25</v>
      </c>
      <c r="M10" s="2"/>
      <c r="N10" s="2"/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2"/>
      <c r="U10" s="2"/>
      <c r="V10" s="1" t="s">
        <v>26</v>
      </c>
      <c r="W10" s="1" t="s">
        <v>26</v>
      </c>
      <c r="X10" s="1" t="s">
        <v>26</v>
      </c>
      <c r="Y10" s="1" t="s">
        <v>26</v>
      </c>
      <c r="Z10" s="1" t="s">
        <v>26</v>
      </c>
      <c r="AA10" s="2"/>
      <c r="AB10" s="2"/>
      <c r="AC10" s="1" t="s">
        <v>26</v>
      </c>
      <c r="AD10" s="1" t="s">
        <v>26</v>
      </c>
      <c r="AE10" s="1" t="s">
        <v>26</v>
      </c>
      <c r="AF10" s="1" t="s">
        <v>26</v>
      </c>
      <c r="AG10" s="1" t="s">
        <v>26</v>
      </c>
    </row>
    <row r="11" spans="1:33">
      <c r="A11" s="1">
        <v>9</v>
      </c>
      <c r="B11" s="1" t="s">
        <v>11</v>
      </c>
      <c r="C11" s="2"/>
      <c r="D11" s="1" t="s">
        <v>26</v>
      </c>
      <c r="E11" s="1" t="s">
        <v>26</v>
      </c>
      <c r="F11" s="2"/>
      <c r="G11" s="2"/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2"/>
      <c r="N11" s="2"/>
      <c r="O11" s="1" t="s">
        <v>26</v>
      </c>
      <c r="P11" s="1" t="s">
        <v>27</v>
      </c>
      <c r="Q11" s="1" t="s">
        <v>27</v>
      </c>
      <c r="R11" s="1" t="s">
        <v>27</v>
      </c>
      <c r="S11" s="1" t="s">
        <v>66</v>
      </c>
      <c r="T11" s="2"/>
      <c r="U11" s="2"/>
      <c r="V11" s="1" t="s">
        <v>26</v>
      </c>
      <c r="W11" s="1" t="s">
        <v>26</v>
      </c>
      <c r="X11" s="1" t="s">
        <v>26</v>
      </c>
      <c r="Y11" s="1" t="s">
        <v>26</v>
      </c>
      <c r="Z11" s="1" t="s">
        <v>26</v>
      </c>
      <c r="AA11" s="2"/>
      <c r="AB11" s="2"/>
      <c r="AC11" s="1" t="s">
        <v>26</v>
      </c>
      <c r="AD11" s="1" t="s">
        <v>26</v>
      </c>
      <c r="AE11" s="1" t="s">
        <v>26</v>
      </c>
      <c r="AF11" s="1" t="s">
        <v>26</v>
      </c>
      <c r="AG11" s="1" t="s">
        <v>26</v>
      </c>
    </row>
    <row r="12" spans="1:33">
      <c r="A12" s="1">
        <v>10</v>
      </c>
      <c r="B12" s="1" t="s">
        <v>12</v>
      </c>
      <c r="C12" s="2"/>
      <c r="D12" s="1" t="s">
        <v>26</v>
      </c>
      <c r="E12" s="1" t="s">
        <v>26</v>
      </c>
      <c r="F12" s="2"/>
      <c r="G12" s="2"/>
      <c r="H12" s="1" t="s">
        <v>26</v>
      </c>
      <c r="I12" s="1" t="s">
        <v>47</v>
      </c>
      <c r="J12" s="1" t="s">
        <v>29</v>
      </c>
      <c r="K12" s="1" t="s">
        <v>27</v>
      </c>
      <c r="L12" s="1" t="s">
        <v>162</v>
      </c>
      <c r="M12" s="2"/>
      <c r="N12" s="2"/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2"/>
      <c r="U12" s="2"/>
      <c r="V12" s="1" t="s">
        <v>26</v>
      </c>
      <c r="W12" s="1" t="s">
        <v>26</v>
      </c>
      <c r="X12" s="1" t="s">
        <v>26</v>
      </c>
      <c r="Y12" s="1" t="s">
        <v>26</v>
      </c>
      <c r="Z12" s="1" t="s">
        <v>26</v>
      </c>
      <c r="AA12" s="2"/>
      <c r="AB12" s="2"/>
      <c r="AC12" s="1" t="s">
        <v>26</v>
      </c>
      <c r="AD12" s="1" t="s">
        <v>26</v>
      </c>
      <c r="AE12" s="1" t="s">
        <v>26</v>
      </c>
      <c r="AF12" s="1" t="s">
        <v>26</v>
      </c>
      <c r="AG12" s="1" t="s">
        <v>26</v>
      </c>
    </row>
    <row r="13" spans="1:33">
      <c r="A13" s="1">
        <v>11</v>
      </c>
      <c r="B13" s="1" t="s">
        <v>13</v>
      </c>
      <c r="C13" s="2"/>
      <c r="D13" s="1" t="s">
        <v>26</v>
      </c>
      <c r="E13" s="1" t="s">
        <v>26</v>
      </c>
      <c r="F13" s="2"/>
      <c r="G13" s="2"/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2"/>
      <c r="N13" s="2"/>
      <c r="O13" s="1" t="s">
        <v>26</v>
      </c>
      <c r="P13" s="1" t="s">
        <v>26</v>
      </c>
      <c r="Q13" s="1" t="s">
        <v>26</v>
      </c>
      <c r="R13" s="1" t="s">
        <v>26</v>
      </c>
      <c r="S13" s="1" t="s">
        <v>26</v>
      </c>
      <c r="T13" s="2"/>
      <c r="U13" s="2"/>
      <c r="V13" s="1" t="s">
        <v>66</v>
      </c>
      <c r="W13" s="1" t="s">
        <v>27</v>
      </c>
      <c r="X13" s="1" t="s">
        <v>27</v>
      </c>
      <c r="Y13" s="1" t="s">
        <v>27</v>
      </c>
      <c r="Z13" s="1" t="s">
        <v>27</v>
      </c>
      <c r="AA13" s="2"/>
      <c r="AB13" s="2"/>
      <c r="AC13" s="1" t="s">
        <v>27</v>
      </c>
      <c r="AD13" s="1" t="s">
        <v>27</v>
      </c>
      <c r="AE13" s="1" t="s">
        <v>27</v>
      </c>
      <c r="AF13" s="1" t="s">
        <v>27</v>
      </c>
      <c r="AG13" s="1" t="s">
        <v>27</v>
      </c>
    </row>
    <row r="14" spans="1:33">
      <c r="A14" s="1">
        <v>12</v>
      </c>
      <c r="B14" s="1" t="s">
        <v>14</v>
      </c>
      <c r="C14" s="2"/>
      <c r="D14" s="1" t="s">
        <v>26</v>
      </c>
      <c r="E14" s="1" t="s">
        <v>26</v>
      </c>
      <c r="F14" s="2"/>
      <c r="G14" s="2"/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2"/>
      <c r="N14" s="2"/>
      <c r="O14" s="1" t="s">
        <v>26</v>
      </c>
      <c r="P14" s="1" t="s">
        <v>27</v>
      </c>
      <c r="Q14" s="1" t="s">
        <v>23</v>
      </c>
      <c r="R14" s="1" t="s">
        <v>26</v>
      </c>
      <c r="S14" s="1" t="s">
        <v>26</v>
      </c>
      <c r="T14" s="2"/>
      <c r="U14" s="2"/>
      <c r="V14" s="1" t="s">
        <v>26</v>
      </c>
      <c r="W14" s="1" t="s">
        <v>26</v>
      </c>
      <c r="X14" s="1" t="s">
        <v>26</v>
      </c>
      <c r="Y14" s="1" t="s">
        <v>26</v>
      </c>
      <c r="Z14" s="1" t="s">
        <v>26</v>
      </c>
      <c r="AA14" s="2"/>
      <c r="AB14" s="2"/>
      <c r="AC14" s="1" t="s">
        <v>26</v>
      </c>
      <c r="AD14" s="1" t="s">
        <v>26</v>
      </c>
      <c r="AE14" s="1" t="s">
        <v>26</v>
      </c>
      <c r="AF14" s="1" t="s">
        <v>26</v>
      </c>
      <c r="AG14" s="1" t="s">
        <v>26</v>
      </c>
    </row>
    <row r="15" spans="1:33">
      <c r="A15" s="1">
        <v>13</v>
      </c>
      <c r="B15" s="1" t="s">
        <v>15</v>
      </c>
      <c r="C15" s="2"/>
      <c r="D15" s="1" t="s">
        <v>27</v>
      </c>
      <c r="E15" s="1" t="s">
        <v>27</v>
      </c>
      <c r="F15" s="2"/>
      <c r="G15" s="2"/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2"/>
      <c r="N15" s="2"/>
      <c r="O15" s="1" t="s">
        <v>27</v>
      </c>
      <c r="P15" s="1" t="s">
        <v>27</v>
      </c>
      <c r="Q15" s="1" t="s">
        <v>27</v>
      </c>
      <c r="R15" s="1" t="s">
        <v>27</v>
      </c>
      <c r="S15" s="1" t="s">
        <v>27</v>
      </c>
      <c r="T15" s="2"/>
      <c r="U15" s="2"/>
      <c r="V15" s="1" t="s">
        <v>27</v>
      </c>
      <c r="W15" s="1" t="s">
        <v>27</v>
      </c>
      <c r="X15" s="1" t="s">
        <v>27</v>
      </c>
      <c r="Y15" s="1" t="s">
        <v>27</v>
      </c>
      <c r="Z15" s="1" t="s">
        <v>27</v>
      </c>
      <c r="AA15" s="2"/>
      <c r="AB15" s="2"/>
      <c r="AC15" s="1" t="s">
        <v>27</v>
      </c>
      <c r="AD15" s="1" t="s">
        <v>27</v>
      </c>
      <c r="AE15" s="1" t="s">
        <v>27</v>
      </c>
      <c r="AF15" s="1" t="s">
        <v>27</v>
      </c>
      <c r="AG15" s="1" t="s">
        <v>27</v>
      </c>
    </row>
    <row r="16" spans="1:33">
      <c r="A16" s="1">
        <v>14</v>
      </c>
      <c r="B16" s="1" t="s">
        <v>16</v>
      </c>
      <c r="C16" s="2"/>
      <c r="D16" s="1" t="s">
        <v>27</v>
      </c>
      <c r="E16" s="1" t="s">
        <v>27</v>
      </c>
      <c r="F16" s="2"/>
      <c r="G16" s="2"/>
      <c r="H16" s="1" t="s">
        <v>27</v>
      </c>
      <c r="I16" s="1" t="s">
        <v>27</v>
      </c>
      <c r="J16" s="1" t="s">
        <v>108</v>
      </c>
      <c r="K16" s="1" t="s">
        <v>27</v>
      </c>
      <c r="L16" s="1" t="s">
        <v>27</v>
      </c>
      <c r="M16" s="2"/>
      <c r="N16" s="2"/>
      <c r="O16" s="1" t="s">
        <v>163</v>
      </c>
      <c r="P16" s="1" t="s">
        <v>27</v>
      </c>
      <c r="Q16" s="1" t="s">
        <v>27</v>
      </c>
      <c r="R16" s="1" t="s">
        <v>27</v>
      </c>
      <c r="S16" s="1" t="s">
        <v>27</v>
      </c>
      <c r="T16" s="2"/>
      <c r="U16" s="2"/>
      <c r="V16" s="1" t="s">
        <v>27</v>
      </c>
      <c r="W16" s="1" t="s">
        <v>27</v>
      </c>
      <c r="X16" s="1" t="s">
        <v>27</v>
      </c>
      <c r="Y16" s="1" t="s">
        <v>27</v>
      </c>
      <c r="Z16" s="1" t="s">
        <v>27</v>
      </c>
      <c r="AA16" s="2"/>
      <c r="AB16" s="2"/>
      <c r="AC16" s="1" t="s">
        <v>27</v>
      </c>
      <c r="AD16" s="1" t="s">
        <v>27</v>
      </c>
      <c r="AE16" s="1" t="s">
        <v>27</v>
      </c>
      <c r="AF16" s="1" t="s">
        <v>27</v>
      </c>
      <c r="AG16" s="1" t="s">
        <v>27</v>
      </c>
    </row>
    <row r="17" spans="1:2">
      <c r="A17" s="5" t="s">
        <v>27</v>
      </c>
      <c r="B17" t="s">
        <v>24</v>
      </c>
    </row>
    <row r="18" spans="1:2">
      <c r="A18" s="4" t="s">
        <v>23</v>
      </c>
      <c r="B18" t="s">
        <v>25</v>
      </c>
    </row>
    <row r="19" spans="1:2">
      <c r="A19" s="8" t="s">
        <v>41</v>
      </c>
      <c r="B19" s="7" t="s">
        <v>40</v>
      </c>
    </row>
    <row r="21" spans="1:2">
      <c r="A21" s="13" t="s">
        <v>169</v>
      </c>
    </row>
    <row r="22" spans="1:2">
      <c r="A22" s="14" t="s">
        <v>170</v>
      </c>
    </row>
    <row r="23" spans="1:2">
      <c r="A23" s="14" t="s">
        <v>171</v>
      </c>
    </row>
    <row r="24" spans="1:2">
      <c r="A24" s="14" t="s">
        <v>167</v>
      </c>
    </row>
    <row r="25" spans="1:2">
      <c r="A25" s="14" t="s">
        <v>172</v>
      </c>
    </row>
    <row r="26" spans="1:2">
      <c r="A26" s="14" t="s">
        <v>173</v>
      </c>
    </row>
    <row r="27" spans="1:2">
      <c r="A27" s="14" t="s">
        <v>168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AH16"/>
  <sheetViews>
    <sheetView workbookViewId="0">
      <selection activeCell="D1" sqref="D1:AG1048576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3" width="8.83203125" hidden="1" customWidth="1"/>
  </cols>
  <sheetData>
    <row r="1" spans="1:34" ht="27">
      <c r="A1" s="57" t="s">
        <v>17</v>
      </c>
      <c r="B1" s="57"/>
      <c r="C1" s="43" t="s">
        <v>157</v>
      </c>
      <c r="D1" s="53">
        <v>45413</v>
      </c>
      <c r="E1" s="53">
        <v>45414</v>
      </c>
      <c r="F1" s="53">
        <v>45415</v>
      </c>
      <c r="G1" s="53">
        <v>45416</v>
      </c>
      <c r="H1" s="53">
        <v>45417</v>
      </c>
      <c r="I1" s="53">
        <v>45418</v>
      </c>
      <c r="J1" s="53">
        <v>45419</v>
      </c>
      <c r="K1" s="53">
        <v>45420</v>
      </c>
      <c r="L1" s="53">
        <v>45421</v>
      </c>
      <c r="M1" s="53">
        <v>45422</v>
      </c>
      <c r="N1" s="53">
        <v>45423</v>
      </c>
      <c r="O1" s="53">
        <v>45424</v>
      </c>
      <c r="P1" s="53">
        <v>45425</v>
      </c>
      <c r="Q1" s="53">
        <v>45426</v>
      </c>
      <c r="R1" s="53">
        <v>45427</v>
      </c>
      <c r="S1" s="53">
        <v>45428</v>
      </c>
      <c r="T1" s="53">
        <v>45429</v>
      </c>
      <c r="U1" s="53">
        <v>45430</v>
      </c>
      <c r="V1" s="53">
        <v>45431</v>
      </c>
      <c r="W1" s="53">
        <v>45432</v>
      </c>
      <c r="X1" s="53">
        <v>45433</v>
      </c>
      <c r="Y1" s="53">
        <v>45434</v>
      </c>
      <c r="Z1" s="53">
        <v>45435</v>
      </c>
      <c r="AA1" s="53">
        <v>45436</v>
      </c>
      <c r="AB1" s="53">
        <v>45437</v>
      </c>
      <c r="AC1" s="53">
        <v>45438</v>
      </c>
      <c r="AD1" s="53">
        <v>45439</v>
      </c>
      <c r="AE1" s="53">
        <v>45440</v>
      </c>
      <c r="AF1" s="53">
        <v>45441</v>
      </c>
      <c r="AG1" s="53">
        <v>45442</v>
      </c>
      <c r="AH1" s="53">
        <v>45443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 t="shared" ref="C3:C9" si="0">SUM(D3:AH3)</f>
        <v>0</v>
      </c>
      <c r="D3" s="2"/>
      <c r="E3" s="1">
        <v>0</v>
      </c>
      <c r="F3" s="1">
        <v>0</v>
      </c>
      <c r="G3" s="2"/>
      <c r="H3" s="2"/>
      <c r="I3" s="1">
        <v>0</v>
      </c>
      <c r="J3" s="1">
        <v>0</v>
      </c>
      <c r="K3" s="1">
        <v>0</v>
      </c>
      <c r="L3" s="1">
        <v>0</v>
      </c>
      <c r="M3" s="1">
        <v>0</v>
      </c>
      <c r="N3" s="2"/>
      <c r="O3" s="2"/>
      <c r="P3" s="1">
        <v>0</v>
      </c>
      <c r="Q3" s="1">
        <v>0</v>
      </c>
      <c r="R3" s="1">
        <v>0</v>
      </c>
      <c r="S3" s="1">
        <v>0</v>
      </c>
      <c r="T3" s="1">
        <v>0</v>
      </c>
      <c r="U3" s="2"/>
      <c r="V3" s="2"/>
      <c r="W3" s="1">
        <v>0</v>
      </c>
      <c r="X3" s="1">
        <v>0</v>
      </c>
      <c r="Y3" s="1">
        <v>0</v>
      </c>
      <c r="Z3" s="1">
        <v>0</v>
      </c>
      <c r="AA3" s="1">
        <v>0</v>
      </c>
      <c r="AB3" s="2"/>
      <c r="AC3" s="2"/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si="0"/>
        <v>0</v>
      </c>
      <c r="D4" s="2"/>
      <c r="E4" s="1">
        <v>0</v>
      </c>
      <c r="F4" s="1">
        <v>0</v>
      </c>
      <c r="G4" s="2"/>
      <c r="H4" s="2"/>
      <c r="I4" s="1">
        <v>0</v>
      </c>
      <c r="J4" s="1">
        <v>0</v>
      </c>
      <c r="K4" s="1">
        <v>0</v>
      </c>
      <c r="L4" s="1">
        <v>0</v>
      </c>
      <c r="M4" s="1">
        <v>0</v>
      </c>
      <c r="N4" s="2"/>
      <c r="O4" s="2"/>
      <c r="P4" s="1">
        <v>0</v>
      </c>
      <c r="Q4" s="1">
        <v>0</v>
      </c>
      <c r="R4" s="1">
        <v>0</v>
      </c>
      <c r="S4" s="1">
        <v>0</v>
      </c>
      <c r="T4" s="1">
        <v>0</v>
      </c>
      <c r="U4" s="2"/>
      <c r="V4" s="2"/>
      <c r="W4" s="1">
        <v>0</v>
      </c>
      <c r="X4" s="1">
        <v>0</v>
      </c>
      <c r="Y4" s="1">
        <v>0</v>
      </c>
      <c r="Z4" s="1">
        <v>0</v>
      </c>
      <c r="AA4" s="1">
        <v>0</v>
      </c>
      <c r="AB4" s="2"/>
      <c r="AC4" s="2"/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5</v>
      </c>
      <c r="D5" s="2"/>
      <c r="E5" s="1">
        <v>0</v>
      </c>
      <c r="F5" s="1">
        <v>0</v>
      </c>
      <c r="G5" s="2"/>
      <c r="H5" s="2"/>
      <c r="I5" s="1">
        <v>0</v>
      </c>
      <c r="J5" s="1">
        <v>2</v>
      </c>
      <c r="K5" s="1">
        <v>0</v>
      </c>
      <c r="L5" s="1">
        <v>3</v>
      </c>
      <c r="M5" s="1">
        <v>0</v>
      </c>
      <c r="N5" s="2"/>
      <c r="O5" s="2"/>
      <c r="P5" s="1">
        <v>0</v>
      </c>
      <c r="Q5" s="1">
        <v>0</v>
      </c>
      <c r="R5" s="1">
        <v>0</v>
      </c>
      <c r="S5" s="1">
        <v>0</v>
      </c>
      <c r="T5" s="1">
        <v>0</v>
      </c>
      <c r="U5" s="2"/>
      <c r="V5" s="2"/>
      <c r="W5" s="1">
        <v>0</v>
      </c>
      <c r="X5" s="1">
        <v>0</v>
      </c>
      <c r="Y5" s="1">
        <v>0</v>
      </c>
      <c r="Z5" s="1">
        <v>0</v>
      </c>
      <c r="AA5" s="1">
        <v>0</v>
      </c>
      <c r="AB5" s="2"/>
      <c r="AC5" s="2"/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188</v>
      </c>
      <c r="C6" s="1">
        <f t="shared" si="0"/>
        <v>16</v>
      </c>
      <c r="D6" s="2"/>
      <c r="E6" s="1">
        <v>0</v>
      </c>
      <c r="F6" s="1">
        <v>0</v>
      </c>
      <c r="G6" s="2"/>
      <c r="H6" s="2"/>
      <c r="I6" s="1">
        <v>0</v>
      </c>
      <c r="J6" s="1">
        <v>0</v>
      </c>
      <c r="K6" s="1">
        <v>0</v>
      </c>
      <c r="L6" s="1">
        <v>0</v>
      </c>
      <c r="M6" s="1">
        <v>16</v>
      </c>
      <c r="N6" s="2"/>
      <c r="O6" s="2"/>
      <c r="P6" s="1">
        <v>0</v>
      </c>
      <c r="Q6" s="1">
        <v>0</v>
      </c>
      <c r="R6" s="1">
        <v>0</v>
      </c>
      <c r="S6" s="1">
        <v>0</v>
      </c>
      <c r="T6" s="1">
        <v>0</v>
      </c>
      <c r="U6" s="2"/>
      <c r="V6" s="2"/>
      <c r="W6" s="1">
        <v>0</v>
      </c>
      <c r="X6" s="1">
        <v>0</v>
      </c>
      <c r="Y6" s="1">
        <v>0</v>
      </c>
      <c r="Z6" s="1">
        <v>0</v>
      </c>
      <c r="AA6" s="1">
        <v>0</v>
      </c>
      <c r="AB6" s="2"/>
      <c r="AC6" s="2"/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16</v>
      </c>
      <c r="D7" s="2"/>
      <c r="E7" s="1">
        <v>0</v>
      </c>
      <c r="F7" s="1">
        <v>0</v>
      </c>
      <c r="G7" s="2"/>
      <c r="H7" s="2"/>
      <c r="I7" s="1">
        <v>0</v>
      </c>
      <c r="J7" s="1">
        <v>0</v>
      </c>
      <c r="K7" s="1">
        <v>0</v>
      </c>
      <c r="L7" s="1">
        <v>0</v>
      </c>
      <c r="M7" s="1">
        <v>0</v>
      </c>
      <c r="N7" s="2"/>
      <c r="O7" s="2"/>
      <c r="P7" s="1">
        <v>0</v>
      </c>
      <c r="Q7" s="1">
        <v>0</v>
      </c>
      <c r="R7" s="1">
        <v>0</v>
      </c>
      <c r="S7" s="1">
        <v>0</v>
      </c>
      <c r="T7" s="1">
        <v>16</v>
      </c>
      <c r="U7" s="2"/>
      <c r="V7" s="2"/>
      <c r="W7" s="1">
        <v>0</v>
      </c>
      <c r="X7" s="1">
        <v>0</v>
      </c>
      <c r="Y7" s="1">
        <v>0</v>
      </c>
      <c r="Z7" s="1">
        <v>0</v>
      </c>
      <c r="AA7" s="1">
        <v>0</v>
      </c>
      <c r="AB7" s="2"/>
      <c r="AC7" s="2"/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24</v>
      </c>
      <c r="D8" s="12"/>
      <c r="E8" s="1">
        <v>0</v>
      </c>
      <c r="F8" s="1">
        <v>0</v>
      </c>
      <c r="G8" s="2"/>
      <c r="H8" s="2"/>
      <c r="I8" s="1">
        <v>0</v>
      </c>
      <c r="J8" s="1">
        <v>0</v>
      </c>
      <c r="K8" s="1">
        <v>0</v>
      </c>
      <c r="L8" s="1">
        <v>0</v>
      </c>
      <c r="M8" s="1">
        <v>0</v>
      </c>
      <c r="N8" s="2"/>
      <c r="O8" s="2"/>
      <c r="P8" s="1">
        <v>0</v>
      </c>
      <c r="Q8" s="1">
        <v>8</v>
      </c>
      <c r="R8" s="1">
        <v>0</v>
      </c>
      <c r="S8" s="1">
        <v>0</v>
      </c>
      <c r="T8" s="1">
        <v>0</v>
      </c>
      <c r="U8" s="2"/>
      <c r="V8" s="2"/>
      <c r="W8" s="1">
        <v>0</v>
      </c>
      <c r="X8" s="1">
        <v>0</v>
      </c>
      <c r="Y8" s="1">
        <v>0</v>
      </c>
      <c r="Z8" s="1">
        <v>0</v>
      </c>
      <c r="AA8" s="1">
        <v>0</v>
      </c>
      <c r="AB8" s="2"/>
      <c r="AC8" s="2"/>
      <c r="AD8" s="1">
        <v>0</v>
      </c>
      <c r="AE8" s="1">
        <v>0</v>
      </c>
      <c r="AF8" s="1">
        <v>0</v>
      </c>
      <c r="AG8" s="1">
        <v>0</v>
      </c>
      <c r="AH8" s="1">
        <v>16</v>
      </c>
    </row>
    <row r="9" spans="1:34">
      <c r="A9" s="1">
        <v>7</v>
      </c>
      <c r="B9" s="1" t="s">
        <v>9</v>
      </c>
      <c r="C9" s="1">
        <f t="shared" si="0"/>
        <v>4</v>
      </c>
      <c r="D9" s="2"/>
      <c r="E9" s="1">
        <v>0</v>
      </c>
      <c r="F9" s="1">
        <v>3</v>
      </c>
      <c r="G9" s="2"/>
      <c r="H9" s="2"/>
      <c r="I9" s="1">
        <v>0</v>
      </c>
      <c r="J9" s="1">
        <v>0</v>
      </c>
      <c r="K9" s="1">
        <v>0</v>
      </c>
      <c r="L9" s="1">
        <v>0</v>
      </c>
      <c r="M9" s="1">
        <v>0</v>
      </c>
      <c r="N9" s="2"/>
      <c r="O9" s="2"/>
      <c r="P9" s="1">
        <v>0</v>
      </c>
      <c r="Q9" s="1">
        <v>0</v>
      </c>
      <c r="R9" s="1">
        <v>0</v>
      </c>
      <c r="S9" s="1">
        <v>0</v>
      </c>
      <c r="T9" s="1">
        <v>0</v>
      </c>
      <c r="U9" s="2"/>
      <c r="V9" s="2"/>
      <c r="W9" s="1">
        <v>0</v>
      </c>
      <c r="X9" s="1">
        <v>0</v>
      </c>
      <c r="Y9" s="1">
        <v>0</v>
      </c>
      <c r="Z9" s="1">
        <v>0</v>
      </c>
      <c r="AA9" s="1">
        <v>0</v>
      </c>
      <c r="AB9" s="2"/>
      <c r="AC9" s="2"/>
      <c r="AD9" s="1">
        <v>0</v>
      </c>
      <c r="AE9" s="1">
        <v>1</v>
      </c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>SUM(D10:AG10)</f>
        <v>0</v>
      </c>
      <c r="D10" s="2"/>
      <c r="E10" s="1">
        <v>0</v>
      </c>
      <c r="F10" s="1">
        <v>0</v>
      </c>
      <c r="G10" s="2"/>
      <c r="H10" s="2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/>
      <c r="O10" s="2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2"/>
      <c r="V10" s="2"/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2"/>
      <c r="AC10" s="2"/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>SUM(D11:AH11)</f>
        <v>16</v>
      </c>
      <c r="D11" s="2"/>
      <c r="E11" s="1">
        <v>0</v>
      </c>
      <c r="F11" s="1">
        <v>0</v>
      </c>
      <c r="G11" s="2"/>
      <c r="H11" s="2"/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2"/>
      <c r="O11" s="2"/>
      <c r="P11" s="1">
        <v>0</v>
      </c>
      <c r="Q11" s="1">
        <v>0</v>
      </c>
      <c r="R11" s="1">
        <v>0</v>
      </c>
      <c r="S11" s="1">
        <v>0</v>
      </c>
      <c r="T11" s="1">
        <v>16</v>
      </c>
      <c r="U11" s="2"/>
      <c r="V11" s="2"/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2"/>
      <c r="AC11" s="2"/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>SUM(D12:AH12)</f>
        <v>16</v>
      </c>
      <c r="D12" s="2"/>
      <c r="E12" s="1">
        <v>0</v>
      </c>
      <c r="F12" s="1">
        <v>0</v>
      </c>
      <c r="G12" s="2"/>
      <c r="H12" s="2"/>
      <c r="I12" s="1">
        <v>0</v>
      </c>
      <c r="J12" s="1">
        <v>0</v>
      </c>
      <c r="K12" s="1">
        <v>0</v>
      </c>
      <c r="L12" s="1">
        <v>0</v>
      </c>
      <c r="M12" s="1">
        <v>16</v>
      </c>
      <c r="N12" s="2"/>
      <c r="O12" s="2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/>
      <c r="V12" s="2"/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2"/>
      <c r="AC12" s="2"/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>SUM(D13:AG13)</f>
        <v>16</v>
      </c>
      <c r="D13" s="2"/>
      <c r="E13" s="1">
        <v>0</v>
      </c>
      <c r="F13" s="1">
        <v>0</v>
      </c>
      <c r="G13" s="2"/>
      <c r="H13" s="2"/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/>
      <c r="O13" s="2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2"/>
      <c r="V13" s="2"/>
      <c r="W13" s="1">
        <v>16</v>
      </c>
      <c r="X13" s="1">
        <v>0</v>
      </c>
      <c r="Y13" s="1">
        <v>0</v>
      </c>
      <c r="Z13" s="1">
        <v>0</v>
      </c>
      <c r="AA13" s="1">
        <v>0</v>
      </c>
      <c r="AB13" s="2"/>
      <c r="AC13" s="2"/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>SUM(D14:AH14)</f>
        <v>0</v>
      </c>
      <c r="D14" s="2"/>
      <c r="E14" s="1">
        <v>0</v>
      </c>
      <c r="F14" s="1">
        <v>0</v>
      </c>
      <c r="G14" s="2"/>
      <c r="H14" s="2"/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/>
      <c r="O14" s="2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2"/>
      <c r="V14" s="2"/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2"/>
      <c r="AC14" s="2"/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>
      <c r="A15" s="1">
        <v>13</v>
      </c>
      <c r="B15" s="1" t="s">
        <v>15</v>
      </c>
      <c r="C15" s="1">
        <f>SUM(D15:AH15)</f>
        <v>22</v>
      </c>
      <c r="D15" s="2"/>
      <c r="E15" s="1">
        <v>0</v>
      </c>
      <c r="F15" s="1">
        <v>0</v>
      </c>
      <c r="G15" s="2"/>
      <c r="H15" s="2"/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2"/>
      <c r="O15" s="2"/>
      <c r="P15" s="1">
        <v>0</v>
      </c>
      <c r="Q15" s="1">
        <v>4</v>
      </c>
      <c r="R15" s="1">
        <v>0</v>
      </c>
      <c r="S15" s="1">
        <v>0</v>
      </c>
      <c r="T15" s="1">
        <v>0</v>
      </c>
      <c r="U15" s="2"/>
      <c r="V15" s="2"/>
      <c r="W15" s="1">
        <v>0</v>
      </c>
      <c r="X15" s="1">
        <v>0</v>
      </c>
      <c r="Y15" s="1">
        <v>6</v>
      </c>
      <c r="Z15" s="1">
        <v>0</v>
      </c>
      <c r="AA15" s="1">
        <v>0</v>
      </c>
      <c r="AB15" s="2"/>
      <c r="AC15" s="2"/>
      <c r="AD15" s="1">
        <v>0</v>
      </c>
      <c r="AE15" s="1">
        <v>0</v>
      </c>
      <c r="AF15" s="1">
        <v>4</v>
      </c>
      <c r="AG15" s="1">
        <v>0</v>
      </c>
      <c r="AH15" s="1">
        <v>8</v>
      </c>
    </row>
    <row r="16" spans="1:34">
      <c r="A16" s="1">
        <v>14</v>
      </c>
      <c r="B16" s="1" t="s">
        <v>16</v>
      </c>
      <c r="C16" s="1">
        <f>SUM(D16:AH16)</f>
        <v>11</v>
      </c>
      <c r="D16" s="2"/>
      <c r="E16" s="1">
        <v>0</v>
      </c>
      <c r="F16" s="1">
        <v>0</v>
      </c>
      <c r="G16" s="2"/>
      <c r="H16" s="2"/>
      <c r="I16" s="1">
        <v>0</v>
      </c>
      <c r="J16" s="1">
        <v>0</v>
      </c>
      <c r="K16" s="1">
        <v>2</v>
      </c>
      <c r="L16" s="1">
        <v>0</v>
      </c>
      <c r="M16" s="1">
        <v>0</v>
      </c>
      <c r="N16" s="2"/>
      <c r="O16" s="2"/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2"/>
      <c r="V16" s="2"/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2"/>
      <c r="AC16" s="2"/>
      <c r="AD16" s="1">
        <v>0</v>
      </c>
      <c r="AE16" s="1">
        <v>0</v>
      </c>
      <c r="AF16" s="1">
        <v>0</v>
      </c>
      <c r="AG16" s="1">
        <v>8</v>
      </c>
      <c r="AH16" s="1">
        <v>0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AH16"/>
  <sheetViews>
    <sheetView zoomScale="85" zoomScaleNormal="85" workbookViewId="0">
      <selection activeCell="AG20" sqref="AG20"/>
    </sheetView>
  </sheetViews>
  <sheetFormatPr baseColWidth="10" defaultColWidth="8.83203125" defaultRowHeight="15"/>
  <cols>
    <col min="3" max="3" width="15.33203125" bestFit="1" customWidth="1"/>
    <col min="4" max="17" width="8.83203125" customWidth="1"/>
    <col min="18" max="18" width="7.83203125" customWidth="1"/>
    <col min="19" max="34" width="8.83203125" customWidth="1"/>
    <col min="35" max="35" width="0" hidden="1" customWidth="1"/>
  </cols>
  <sheetData>
    <row r="1" spans="1:34" ht="27">
      <c r="A1" s="59" t="s">
        <v>19</v>
      </c>
      <c r="B1" s="59"/>
      <c r="C1" s="43" t="s">
        <v>159</v>
      </c>
      <c r="D1" s="53">
        <v>45413</v>
      </c>
      <c r="E1" s="53">
        <v>45414</v>
      </c>
      <c r="F1" s="53">
        <v>45415</v>
      </c>
      <c r="G1" s="53">
        <v>45416</v>
      </c>
      <c r="H1" s="53">
        <v>45417</v>
      </c>
      <c r="I1" s="53">
        <v>45418</v>
      </c>
      <c r="J1" s="53">
        <v>45419</v>
      </c>
      <c r="K1" s="53">
        <v>45420</v>
      </c>
      <c r="L1" s="53">
        <v>45421</v>
      </c>
      <c r="M1" s="53">
        <v>45422</v>
      </c>
      <c r="N1" s="53">
        <v>45423</v>
      </c>
      <c r="O1" s="53">
        <v>45424</v>
      </c>
      <c r="P1" s="53">
        <v>45425</v>
      </c>
      <c r="Q1" s="53">
        <v>45426</v>
      </c>
      <c r="R1" s="53">
        <v>45427</v>
      </c>
      <c r="S1" s="53">
        <v>45428</v>
      </c>
      <c r="T1" s="53">
        <v>45429</v>
      </c>
      <c r="U1" s="53">
        <v>45430</v>
      </c>
      <c r="V1" s="53">
        <v>45431</v>
      </c>
      <c r="W1" s="53">
        <v>45432</v>
      </c>
      <c r="X1" s="53">
        <v>45433</v>
      </c>
      <c r="Y1" s="53">
        <v>45434</v>
      </c>
      <c r="Z1" s="53">
        <v>45435</v>
      </c>
      <c r="AA1" s="53">
        <v>45436</v>
      </c>
      <c r="AB1" s="53">
        <v>45437</v>
      </c>
      <c r="AC1" s="53">
        <v>45438</v>
      </c>
      <c r="AD1" s="53">
        <v>45439</v>
      </c>
      <c r="AE1" s="53">
        <v>45440</v>
      </c>
      <c r="AF1" s="53">
        <v>45441</v>
      </c>
      <c r="AG1" s="53">
        <v>45442</v>
      </c>
      <c r="AH1" s="53">
        <v>45443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 hidden="1">
      <c r="A3" s="1">
        <v>1</v>
      </c>
      <c r="B3" s="1" t="s">
        <v>3</v>
      </c>
      <c r="C3" s="1">
        <f t="shared" ref="C3:C9" si="0">SUM(D3:AH3)</f>
        <v>0</v>
      </c>
      <c r="D3" s="2"/>
      <c r="E3" s="1">
        <v>0</v>
      </c>
      <c r="F3" s="1">
        <v>0</v>
      </c>
      <c r="G3" s="2"/>
      <c r="H3" s="2"/>
      <c r="I3" s="1">
        <v>0</v>
      </c>
      <c r="J3" s="1">
        <v>0</v>
      </c>
      <c r="K3" s="1">
        <v>0</v>
      </c>
      <c r="L3" s="1">
        <v>0</v>
      </c>
      <c r="M3" s="1">
        <v>0</v>
      </c>
      <c r="N3" s="2"/>
      <c r="O3" s="2"/>
      <c r="P3" s="1">
        <v>0</v>
      </c>
      <c r="Q3" s="1">
        <v>0</v>
      </c>
      <c r="R3" s="1">
        <v>0</v>
      </c>
      <c r="S3" s="1">
        <v>0</v>
      </c>
      <c r="T3" s="1">
        <v>0</v>
      </c>
      <c r="U3" s="2"/>
      <c r="V3" s="2"/>
      <c r="W3" s="1">
        <v>0</v>
      </c>
      <c r="X3" s="1">
        <v>0</v>
      </c>
      <c r="Y3" s="1">
        <v>0</v>
      </c>
      <c r="Z3" s="1">
        <v>0</v>
      </c>
      <c r="AA3" s="1">
        <v>0</v>
      </c>
      <c r="AB3" s="2"/>
      <c r="AC3" s="2"/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hidden="1">
      <c r="A4" s="1">
        <v>2</v>
      </c>
      <c r="B4" s="1" t="s">
        <v>4</v>
      </c>
      <c r="C4" s="1">
        <f t="shared" si="0"/>
        <v>0</v>
      </c>
      <c r="D4" s="2"/>
      <c r="E4" s="1">
        <v>0</v>
      </c>
      <c r="F4" s="1">
        <v>0</v>
      </c>
      <c r="G4" s="2"/>
      <c r="H4" s="2"/>
      <c r="I4" s="1">
        <v>0</v>
      </c>
      <c r="J4" s="1">
        <v>0</v>
      </c>
      <c r="K4" s="1">
        <v>0</v>
      </c>
      <c r="L4" s="1">
        <v>0</v>
      </c>
      <c r="M4" s="1">
        <v>0</v>
      </c>
      <c r="N4" s="2"/>
      <c r="O4" s="2"/>
      <c r="P4" s="1">
        <v>0</v>
      </c>
      <c r="Q4" s="1">
        <v>0</v>
      </c>
      <c r="R4" s="1">
        <v>0</v>
      </c>
      <c r="S4" s="1">
        <v>0</v>
      </c>
      <c r="T4" s="1">
        <v>0</v>
      </c>
      <c r="U4" s="2"/>
      <c r="V4" s="2"/>
      <c r="W4" s="1">
        <v>0</v>
      </c>
      <c r="X4" s="1">
        <v>0</v>
      </c>
      <c r="Y4" s="1">
        <v>0</v>
      </c>
      <c r="Z4" s="1">
        <v>0</v>
      </c>
      <c r="AA4" s="1">
        <v>0</v>
      </c>
      <c r="AB4" s="2"/>
      <c r="AC4" s="2"/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hidden="1">
      <c r="A5" s="1">
        <v>3</v>
      </c>
      <c r="B5" s="1" t="s">
        <v>5</v>
      </c>
      <c r="C5" s="1">
        <f t="shared" si="0"/>
        <v>24</v>
      </c>
      <c r="D5" s="2"/>
      <c r="E5" s="1">
        <v>0</v>
      </c>
      <c r="F5" s="1">
        <v>4</v>
      </c>
      <c r="G5" s="2"/>
      <c r="H5" s="2"/>
      <c r="I5" s="1">
        <v>0</v>
      </c>
      <c r="J5" s="1">
        <v>0</v>
      </c>
      <c r="K5" s="1">
        <v>1</v>
      </c>
      <c r="L5" s="1">
        <v>0</v>
      </c>
      <c r="M5" s="1">
        <v>0</v>
      </c>
      <c r="N5" s="2">
        <v>16</v>
      </c>
      <c r="O5" s="2"/>
      <c r="P5" s="1">
        <v>0</v>
      </c>
      <c r="Q5" s="1">
        <v>0</v>
      </c>
      <c r="R5" s="1">
        <v>0</v>
      </c>
      <c r="S5" s="1">
        <v>0</v>
      </c>
      <c r="T5" s="1">
        <v>0</v>
      </c>
      <c r="U5" s="2"/>
      <c r="V5" s="2"/>
      <c r="W5" s="1">
        <v>0</v>
      </c>
      <c r="X5" s="1">
        <v>3</v>
      </c>
      <c r="Y5" s="1">
        <v>0</v>
      </c>
      <c r="Z5" s="1">
        <v>0</v>
      </c>
      <c r="AA5" s="1">
        <v>0</v>
      </c>
      <c r="AB5" s="2"/>
      <c r="AC5" s="2"/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hidden="1">
      <c r="A6" s="1">
        <v>4</v>
      </c>
      <c r="B6" s="1" t="s">
        <v>6</v>
      </c>
      <c r="C6" s="1">
        <f t="shared" si="0"/>
        <v>0</v>
      </c>
      <c r="D6" s="2"/>
      <c r="E6" s="1">
        <v>0</v>
      </c>
      <c r="F6" s="1">
        <v>0</v>
      </c>
      <c r="G6" s="2"/>
      <c r="H6" s="2"/>
      <c r="I6" s="1">
        <v>0</v>
      </c>
      <c r="J6" s="1">
        <v>0</v>
      </c>
      <c r="K6" s="1">
        <v>0</v>
      </c>
      <c r="L6" s="1">
        <v>0</v>
      </c>
      <c r="M6" s="1">
        <v>0</v>
      </c>
      <c r="N6" s="2"/>
      <c r="O6" s="2"/>
      <c r="P6" s="1">
        <v>0</v>
      </c>
      <c r="Q6" s="1">
        <v>0</v>
      </c>
      <c r="R6" s="1">
        <v>0</v>
      </c>
      <c r="S6" s="1">
        <v>0</v>
      </c>
      <c r="T6" s="1">
        <v>0</v>
      </c>
      <c r="U6" s="2"/>
      <c r="V6" s="2"/>
      <c r="W6" s="1">
        <v>0</v>
      </c>
      <c r="X6" s="1">
        <v>0</v>
      </c>
      <c r="Y6" s="1">
        <v>0</v>
      </c>
      <c r="Z6" s="1">
        <v>0</v>
      </c>
      <c r="AA6" s="1">
        <v>0</v>
      </c>
      <c r="AB6" s="2"/>
      <c r="AC6" s="2"/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hidden="1">
      <c r="A7" s="1">
        <v>5</v>
      </c>
      <c r="B7" s="1" t="s">
        <v>7</v>
      </c>
      <c r="C7" s="1">
        <f t="shared" si="0"/>
        <v>0</v>
      </c>
      <c r="D7" s="2"/>
      <c r="E7" s="1">
        <v>0</v>
      </c>
      <c r="F7" s="1">
        <v>0</v>
      </c>
      <c r="G7" s="2"/>
      <c r="H7" s="2"/>
      <c r="I7" s="1">
        <v>0</v>
      </c>
      <c r="J7" s="1">
        <v>0</v>
      </c>
      <c r="K7" s="1">
        <v>0</v>
      </c>
      <c r="L7" s="1">
        <v>0</v>
      </c>
      <c r="M7" s="1">
        <v>0</v>
      </c>
      <c r="N7" s="2"/>
      <c r="O7" s="2"/>
      <c r="P7" s="1">
        <v>0</v>
      </c>
      <c r="Q7" s="1">
        <v>0</v>
      </c>
      <c r="R7" s="1">
        <v>0</v>
      </c>
      <c r="S7" s="1">
        <v>0</v>
      </c>
      <c r="T7" s="1">
        <v>0</v>
      </c>
      <c r="U7" s="2"/>
      <c r="V7" s="2"/>
      <c r="W7" s="1">
        <v>0</v>
      </c>
      <c r="X7" s="1">
        <v>0</v>
      </c>
      <c r="Y7" s="1">
        <v>0</v>
      </c>
      <c r="Z7" s="1">
        <v>0</v>
      </c>
      <c r="AA7" s="1">
        <v>0</v>
      </c>
      <c r="AB7" s="2"/>
      <c r="AC7" s="2"/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24</v>
      </c>
      <c r="D8" s="12"/>
      <c r="E8" s="1">
        <v>0</v>
      </c>
      <c r="F8" s="1">
        <v>0</v>
      </c>
      <c r="G8" s="2"/>
      <c r="H8" s="2"/>
      <c r="I8" s="1">
        <v>0</v>
      </c>
      <c r="J8" s="1">
        <v>0</v>
      </c>
      <c r="K8" s="1">
        <v>0</v>
      </c>
      <c r="L8" s="1">
        <v>1</v>
      </c>
      <c r="M8" s="1">
        <v>2</v>
      </c>
      <c r="N8" s="2"/>
      <c r="O8" s="2"/>
      <c r="P8" s="1">
        <v>1</v>
      </c>
      <c r="Q8" s="1">
        <v>0</v>
      </c>
      <c r="R8" s="1">
        <v>1</v>
      </c>
      <c r="S8" s="1">
        <v>0</v>
      </c>
      <c r="T8" s="1">
        <v>0</v>
      </c>
      <c r="U8" s="2"/>
      <c r="V8" s="2"/>
      <c r="W8" s="1">
        <v>1</v>
      </c>
      <c r="X8" s="1">
        <v>2</v>
      </c>
      <c r="Y8" s="1">
        <v>1</v>
      </c>
      <c r="Z8" s="1">
        <v>1</v>
      </c>
      <c r="AA8" s="1">
        <v>1</v>
      </c>
      <c r="AB8" s="2"/>
      <c r="AC8" s="2"/>
      <c r="AD8" s="1">
        <v>2</v>
      </c>
      <c r="AE8" s="1">
        <v>5</v>
      </c>
      <c r="AF8" s="1">
        <v>3</v>
      </c>
      <c r="AG8" s="1">
        <v>3</v>
      </c>
      <c r="AH8" s="1">
        <v>0</v>
      </c>
    </row>
    <row r="9" spans="1:34">
      <c r="A9" s="1">
        <v>7</v>
      </c>
      <c r="B9" s="1" t="s">
        <v>9</v>
      </c>
      <c r="C9" s="1">
        <f t="shared" si="0"/>
        <v>8</v>
      </c>
      <c r="D9" s="2"/>
      <c r="E9" s="1">
        <v>0</v>
      </c>
      <c r="F9" s="1">
        <v>0</v>
      </c>
      <c r="G9" s="2"/>
      <c r="H9" s="2"/>
      <c r="I9" s="1">
        <v>0</v>
      </c>
      <c r="J9" s="1">
        <v>0</v>
      </c>
      <c r="K9" s="1">
        <v>4</v>
      </c>
      <c r="L9" s="1">
        <v>1</v>
      </c>
      <c r="M9" s="1">
        <v>0</v>
      </c>
      <c r="N9" s="2"/>
      <c r="O9" s="2"/>
      <c r="P9" s="1">
        <v>0</v>
      </c>
      <c r="Q9" s="1">
        <v>0</v>
      </c>
      <c r="R9" s="1">
        <v>0</v>
      </c>
      <c r="S9" s="1">
        <v>0</v>
      </c>
      <c r="T9" s="1">
        <v>0</v>
      </c>
      <c r="U9" s="2"/>
      <c r="V9" s="2"/>
      <c r="W9" s="1">
        <v>0</v>
      </c>
      <c r="X9" s="1">
        <v>0</v>
      </c>
      <c r="Y9" s="1">
        <v>0</v>
      </c>
      <c r="Z9" s="1">
        <v>0</v>
      </c>
      <c r="AA9" s="1">
        <v>0</v>
      </c>
      <c r="AB9" s="2"/>
      <c r="AC9" s="2"/>
      <c r="AD9" s="1">
        <v>0</v>
      </c>
      <c r="AE9" s="1">
        <v>0</v>
      </c>
      <c r="AF9" s="1">
        <v>1</v>
      </c>
      <c r="AG9" s="1">
        <v>1</v>
      </c>
      <c r="AH9" s="1">
        <v>1</v>
      </c>
    </row>
    <row r="10" spans="1:34">
      <c r="A10" s="1">
        <v>8</v>
      </c>
      <c r="B10" s="1" t="s">
        <v>10</v>
      </c>
      <c r="C10" s="1">
        <f>SUM(D10:AG10)</f>
        <v>0</v>
      </c>
      <c r="D10" s="2"/>
      <c r="E10" s="1">
        <v>0</v>
      </c>
      <c r="F10" s="1">
        <v>0</v>
      </c>
      <c r="G10" s="2"/>
      <c r="H10" s="2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/>
      <c r="O10" s="2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2"/>
      <c r="V10" s="2"/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2"/>
      <c r="AC10" s="2"/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ref="C11:C16" si="1">SUM(D11:AH11)</f>
        <v>12</v>
      </c>
      <c r="D11" s="2"/>
      <c r="E11" s="1">
        <v>0</v>
      </c>
      <c r="F11" s="1">
        <v>0</v>
      </c>
      <c r="G11" s="2"/>
      <c r="H11" s="2"/>
      <c r="I11" s="1">
        <v>0</v>
      </c>
      <c r="J11" s="1">
        <v>10</v>
      </c>
      <c r="K11" s="1">
        <v>0</v>
      </c>
      <c r="L11" s="1">
        <v>0</v>
      </c>
      <c r="M11" s="1">
        <v>0</v>
      </c>
      <c r="N11" s="2"/>
      <c r="O11" s="2"/>
      <c r="P11" s="1">
        <v>0</v>
      </c>
      <c r="Q11" s="1">
        <v>0</v>
      </c>
      <c r="R11" s="1">
        <v>1</v>
      </c>
      <c r="S11" s="1">
        <v>1</v>
      </c>
      <c r="T11" s="1">
        <v>0</v>
      </c>
      <c r="U11" s="2"/>
      <c r="V11" s="2"/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2"/>
      <c r="AC11" s="2"/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1"/>
        <v>0</v>
      </c>
      <c r="D12" s="2"/>
      <c r="E12" s="1">
        <v>0</v>
      </c>
      <c r="F12" s="1">
        <v>0</v>
      </c>
      <c r="G12" s="2"/>
      <c r="H12" s="2"/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2"/>
      <c r="O12" s="2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/>
      <c r="V12" s="2"/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2"/>
      <c r="AC12" s="2"/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1"/>
        <v>55</v>
      </c>
      <c r="D13" s="2"/>
      <c r="E13" s="1">
        <v>0</v>
      </c>
      <c r="F13" s="1">
        <v>0</v>
      </c>
      <c r="G13" s="2"/>
      <c r="H13" s="2"/>
      <c r="I13" s="1">
        <v>0</v>
      </c>
      <c r="J13" s="1">
        <v>7</v>
      </c>
      <c r="K13" s="1">
        <v>6</v>
      </c>
      <c r="L13" s="1">
        <v>0</v>
      </c>
      <c r="M13" s="1">
        <v>0</v>
      </c>
      <c r="N13" s="2"/>
      <c r="O13" s="2"/>
      <c r="P13" s="1">
        <v>0</v>
      </c>
      <c r="Q13" s="1">
        <v>7</v>
      </c>
      <c r="R13" s="1">
        <v>0</v>
      </c>
      <c r="S13" s="1">
        <v>0</v>
      </c>
      <c r="T13" s="1">
        <v>0</v>
      </c>
      <c r="U13" s="2"/>
      <c r="V13" s="2"/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2"/>
      <c r="AC13" s="2"/>
      <c r="AD13" s="1">
        <v>10</v>
      </c>
      <c r="AE13" s="1">
        <v>8</v>
      </c>
      <c r="AF13" s="1">
        <v>11</v>
      </c>
      <c r="AG13" s="1">
        <v>6</v>
      </c>
      <c r="AH13" s="1">
        <v>0</v>
      </c>
    </row>
    <row r="14" spans="1:34">
      <c r="A14" s="1">
        <v>12</v>
      </c>
      <c r="B14" s="1" t="s">
        <v>14</v>
      </c>
      <c r="C14" s="1">
        <f t="shared" si="1"/>
        <v>43</v>
      </c>
      <c r="D14" s="2"/>
      <c r="E14" s="1">
        <v>0</v>
      </c>
      <c r="F14" s="1">
        <v>0</v>
      </c>
      <c r="G14" s="2"/>
      <c r="H14" s="2"/>
      <c r="I14" s="1">
        <v>6</v>
      </c>
      <c r="J14" s="1">
        <v>0</v>
      </c>
      <c r="K14" s="1">
        <v>6</v>
      </c>
      <c r="L14" s="1">
        <v>0</v>
      </c>
      <c r="M14" s="1">
        <v>0</v>
      </c>
      <c r="N14" s="2"/>
      <c r="O14" s="2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2"/>
      <c r="V14" s="2"/>
      <c r="W14" s="1">
        <v>0</v>
      </c>
      <c r="X14" s="1">
        <v>0</v>
      </c>
      <c r="Y14" s="1">
        <v>0</v>
      </c>
      <c r="Z14" s="1">
        <v>6</v>
      </c>
      <c r="AA14" s="1">
        <v>0</v>
      </c>
      <c r="AB14" s="2"/>
      <c r="AC14" s="2"/>
      <c r="AD14" s="1">
        <v>0</v>
      </c>
      <c r="AE14" s="1">
        <v>6</v>
      </c>
      <c r="AF14" s="1">
        <v>6</v>
      </c>
      <c r="AG14" s="1">
        <v>6</v>
      </c>
      <c r="AH14" s="1">
        <v>7</v>
      </c>
    </row>
    <row r="15" spans="1:34">
      <c r="A15" s="1">
        <v>13</v>
      </c>
      <c r="B15" s="1" t="s">
        <v>15</v>
      </c>
      <c r="C15" s="1">
        <f t="shared" si="1"/>
        <v>0</v>
      </c>
      <c r="D15" s="2"/>
      <c r="E15" s="1">
        <v>0</v>
      </c>
      <c r="F15" s="1">
        <v>0</v>
      </c>
      <c r="G15" s="2"/>
      <c r="H15" s="2"/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2"/>
      <c r="O15" s="2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2"/>
      <c r="V15" s="2"/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2"/>
      <c r="AC15" s="2"/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>
      <c r="A16" s="1">
        <v>14</v>
      </c>
      <c r="B16" s="1" t="s">
        <v>16</v>
      </c>
      <c r="C16" s="1">
        <f t="shared" si="1"/>
        <v>4</v>
      </c>
      <c r="D16" s="2"/>
      <c r="E16" s="1">
        <v>0</v>
      </c>
      <c r="F16" s="1">
        <v>0</v>
      </c>
      <c r="G16" s="2"/>
      <c r="H16" s="2"/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/>
      <c r="O16" s="2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2"/>
      <c r="V16" s="2"/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2"/>
      <c r="AC16" s="2"/>
      <c r="AD16" s="1">
        <v>0</v>
      </c>
      <c r="AE16" s="1">
        <v>0</v>
      </c>
      <c r="AF16" s="1">
        <v>4</v>
      </c>
      <c r="AG16" s="1">
        <v>0</v>
      </c>
      <c r="AH16" s="1">
        <v>0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27"/>
  <sheetViews>
    <sheetView zoomScaleNormal="100" workbookViewId="0">
      <selection activeCell="AD3" sqref="AD3:AD16"/>
    </sheetView>
  </sheetViews>
  <sheetFormatPr baseColWidth="10" defaultColWidth="8.83203125" defaultRowHeight="15"/>
  <cols>
    <col min="3" max="29" width="8.83203125" hidden="1" customWidth="1"/>
    <col min="30" max="33" width="8.83203125" customWidth="1"/>
  </cols>
  <sheetData>
    <row r="1" spans="1:33" ht="27">
      <c r="A1" s="55" t="s">
        <v>0</v>
      </c>
      <c r="B1" s="55"/>
      <c r="C1" s="53">
        <v>45444</v>
      </c>
      <c r="D1" s="53">
        <v>45445</v>
      </c>
      <c r="E1" s="53">
        <v>45446</v>
      </c>
      <c r="F1" s="53">
        <v>45447</v>
      </c>
      <c r="G1" s="53">
        <v>45448</v>
      </c>
      <c r="H1" s="53">
        <v>45449</v>
      </c>
      <c r="I1" s="53">
        <v>45450</v>
      </c>
      <c r="J1" s="53">
        <v>45451</v>
      </c>
      <c r="K1" s="53">
        <v>45452</v>
      </c>
      <c r="L1" s="53">
        <v>45453</v>
      </c>
      <c r="M1" s="53">
        <v>45454</v>
      </c>
      <c r="N1" s="53">
        <v>45455</v>
      </c>
      <c r="O1" s="53">
        <v>45456</v>
      </c>
      <c r="P1" s="53">
        <v>45457</v>
      </c>
      <c r="Q1" s="53">
        <v>45458</v>
      </c>
      <c r="R1" s="53">
        <v>45459</v>
      </c>
      <c r="S1" s="53">
        <v>45460</v>
      </c>
      <c r="T1" s="53">
        <v>45461</v>
      </c>
      <c r="U1" s="53">
        <v>45462</v>
      </c>
      <c r="V1" s="53">
        <v>45463</v>
      </c>
      <c r="W1" s="53">
        <v>45464</v>
      </c>
      <c r="X1" s="53">
        <v>45465</v>
      </c>
      <c r="Y1" s="53">
        <v>45466</v>
      </c>
      <c r="Z1" s="53">
        <v>45467</v>
      </c>
      <c r="AA1" s="53">
        <v>45468</v>
      </c>
      <c r="AB1" s="53">
        <v>45469</v>
      </c>
      <c r="AC1" s="53">
        <v>45470</v>
      </c>
      <c r="AD1" s="53">
        <v>45471</v>
      </c>
      <c r="AE1" s="53">
        <v>45472</v>
      </c>
      <c r="AF1" s="53">
        <v>45473</v>
      </c>
      <c r="AG1" s="53"/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2"/>
      <c r="D3" s="2"/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2"/>
      <c r="K3" s="2"/>
      <c r="L3" s="2"/>
      <c r="M3" s="1" t="s">
        <v>27</v>
      </c>
      <c r="N3" s="1" t="s">
        <v>27</v>
      </c>
      <c r="O3" s="1" t="s">
        <v>27</v>
      </c>
      <c r="P3" s="1" t="s">
        <v>27</v>
      </c>
      <c r="Q3" s="2"/>
      <c r="R3" s="2"/>
      <c r="S3" s="1" t="s">
        <v>27</v>
      </c>
      <c r="T3" s="1" t="s">
        <v>27</v>
      </c>
      <c r="U3" s="1" t="s">
        <v>27</v>
      </c>
      <c r="V3" s="1" t="s">
        <v>182</v>
      </c>
      <c r="W3" s="1" t="s">
        <v>27</v>
      </c>
      <c r="X3" s="2"/>
      <c r="Y3" s="2"/>
      <c r="Z3" s="1" t="s">
        <v>27</v>
      </c>
      <c r="AA3" s="1" t="s">
        <v>27</v>
      </c>
      <c r="AB3" s="1" t="s">
        <v>27</v>
      </c>
      <c r="AC3" s="1" t="s">
        <v>27</v>
      </c>
      <c r="AD3" s="1" t="s">
        <v>204</v>
      </c>
      <c r="AE3" s="2"/>
      <c r="AF3" s="2"/>
      <c r="AG3" s="1"/>
    </row>
    <row r="4" spans="1:33">
      <c r="A4" s="1">
        <v>2</v>
      </c>
      <c r="B4" s="1" t="s">
        <v>4</v>
      </c>
      <c r="C4" s="2"/>
      <c r="D4" s="2"/>
      <c r="E4" s="1" t="s">
        <v>26</v>
      </c>
      <c r="F4" s="1" t="s">
        <v>26</v>
      </c>
      <c r="G4" s="1" t="s">
        <v>180</v>
      </c>
      <c r="H4" s="1" t="s">
        <v>27</v>
      </c>
      <c r="I4" s="1" t="s">
        <v>27</v>
      </c>
      <c r="J4" s="2"/>
      <c r="K4" s="2"/>
      <c r="L4" s="2"/>
      <c r="M4" s="1" t="s">
        <v>182</v>
      </c>
      <c r="N4" s="1" t="s">
        <v>181</v>
      </c>
      <c r="O4" s="1" t="s">
        <v>26</v>
      </c>
      <c r="P4" s="1" t="s">
        <v>26</v>
      </c>
      <c r="Q4" s="2"/>
      <c r="R4" s="2"/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2"/>
      <c r="Y4" s="2"/>
      <c r="Z4" s="1" t="s">
        <v>26</v>
      </c>
      <c r="AA4" s="1" t="s">
        <v>26</v>
      </c>
      <c r="AB4" s="1" t="s">
        <v>26</v>
      </c>
      <c r="AC4" s="1" t="s">
        <v>26</v>
      </c>
      <c r="AD4" s="1" t="s">
        <v>26</v>
      </c>
      <c r="AE4" s="2"/>
      <c r="AF4" s="2"/>
      <c r="AG4" s="1"/>
    </row>
    <row r="5" spans="1:33">
      <c r="A5" s="1">
        <v>3</v>
      </c>
      <c r="B5" s="1" t="s">
        <v>5</v>
      </c>
      <c r="C5" s="2"/>
      <c r="D5" s="2"/>
      <c r="E5" s="1" t="s">
        <v>27</v>
      </c>
      <c r="F5" s="1" t="s">
        <v>27</v>
      </c>
      <c r="G5" s="1" t="s">
        <v>27</v>
      </c>
      <c r="H5" s="1" t="s">
        <v>27</v>
      </c>
      <c r="I5" s="1" t="s">
        <v>27</v>
      </c>
      <c r="J5" s="2"/>
      <c r="K5" s="2"/>
      <c r="L5" s="2"/>
      <c r="M5" s="1" t="s">
        <v>27</v>
      </c>
      <c r="N5" s="1" t="s">
        <v>27</v>
      </c>
      <c r="O5" s="1" t="s">
        <v>27</v>
      </c>
      <c r="P5" s="1" t="s">
        <v>27</v>
      </c>
      <c r="Q5" s="2"/>
      <c r="R5" s="2"/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2"/>
      <c r="Y5" s="2"/>
      <c r="Z5" s="1" t="s">
        <v>27</v>
      </c>
      <c r="AA5" s="1" t="s">
        <v>27</v>
      </c>
      <c r="AB5" s="1" t="s">
        <v>27</v>
      </c>
      <c r="AC5" s="1" t="s">
        <v>27</v>
      </c>
      <c r="AD5" s="1" t="s">
        <v>27</v>
      </c>
      <c r="AE5" s="2"/>
      <c r="AF5" s="2"/>
      <c r="AG5" s="1"/>
    </row>
    <row r="6" spans="1:33">
      <c r="A6" s="1">
        <v>4</v>
      </c>
      <c r="B6" s="1" t="s">
        <v>6</v>
      </c>
      <c r="C6" s="2"/>
      <c r="D6" s="2"/>
      <c r="E6" s="1" t="s">
        <v>26</v>
      </c>
      <c r="F6" s="1" t="s">
        <v>26</v>
      </c>
      <c r="G6" s="1" t="s">
        <v>26</v>
      </c>
      <c r="H6" s="1" t="s">
        <v>26</v>
      </c>
      <c r="I6" s="1" t="s">
        <v>26</v>
      </c>
      <c r="J6" s="2"/>
      <c r="K6" s="2"/>
      <c r="L6" s="2"/>
      <c r="M6" s="1" t="s">
        <v>26</v>
      </c>
      <c r="N6" s="1" t="s">
        <v>26</v>
      </c>
      <c r="O6" s="1" t="s">
        <v>26</v>
      </c>
      <c r="P6" s="1" t="s">
        <v>26</v>
      </c>
      <c r="Q6" s="2"/>
      <c r="R6" s="2"/>
      <c r="S6" s="1" t="s">
        <v>27</v>
      </c>
      <c r="T6" s="1" t="s">
        <v>27</v>
      </c>
      <c r="U6" s="1" t="s">
        <v>182</v>
      </c>
      <c r="V6" s="1" t="s">
        <v>182</v>
      </c>
      <c r="W6" s="1" t="s">
        <v>26</v>
      </c>
      <c r="X6" s="2"/>
      <c r="Y6" s="2"/>
      <c r="Z6" s="1" t="s">
        <v>26</v>
      </c>
      <c r="AA6" s="1" t="s">
        <v>26</v>
      </c>
      <c r="AB6" s="1" t="s">
        <v>26</v>
      </c>
      <c r="AC6" s="1" t="s">
        <v>26</v>
      </c>
      <c r="AD6" s="1" t="s">
        <v>26</v>
      </c>
      <c r="AE6" s="2"/>
      <c r="AF6" s="2"/>
      <c r="AG6" s="1"/>
    </row>
    <row r="7" spans="1:33">
      <c r="A7" s="1">
        <v>5</v>
      </c>
      <c r="B7" s="1" t="s">
        <v>7</v>
      </c>
      <c r="C7" s="2"/>
      <c r="D7" s="2"/>
      <c r="E7" s="1" t="s">
        <v>26</v>
      </c>
      <c r="F7" s="1" t="s">
        <v>26</v>
      </c>
      <c r="G7" s="1" t="s">
        <v>26</v>
      </c>
      <c r="H7" s="1" t="s">
        <v>26</v>
      </c>
      <c r="I7" s="1" t="s">
        <v>26</v>
      </c>
      <c r="J7" s="2"/>
      <c r="K7" s="2"/>
      <c r="L7" s="2"/>
      <c r="M7" s="1" t="s">
        <v>26</v>
      </c>
      <c r="N7" s="1" t="s">
        <v>26</v>
      </c>
      <c r="O7" s="1" t="s">
        <v>26</v>
      </c>
      <c r="P7" s="1" t="s">
        <v>26</v>
      </c>
      <c r="Q7" s="2"/>
      <c r="R7" s="2"/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2"/>
      <c r="Y7" s="2"/>
      <c r="Z7" s="1" t="s">
        <v>26</v>
      </c>
      <c r="AA7" s="1" t="s">
        <v>27</v>
      </c>
      <c r="AB7" s="1" t="s">
        <v>27</v>
      </c>
      <c r="AC7" s="1" t="s">
        <v>27</v>
      </c>
      <c r="AD7" s="1" t="s">
        <v>52</v>
      </c>
      <c r="AE7" s="2"/>
      <c r="AF7" s="2"/>
      <c r="AG7" s="1"/>
    </row>
    <row r="8" spans="1:33">
      <c r="A8" s="1">
        <v>6</v>
      </c>
      <c r="B8" s="1" t="s">
        <v>8</v>
      </c>
      <c r="C8" s="12"/>
      <c r="D8" s="12"/>
      <c r="E8" s="1" t="s">
        <v>27</v>
      </c>
      <c r="F8" s="1" t="s">
        <v>27</v>
      </c>
      <c r="G8" s="1" t="s">
        <v>27</v>
      </c>
      <c r="H8" s="1" t="s">
        <v>27</v>
      </c>
      <c r="I8" s="1" t="s">
        <v>27</v>
      </c>
      <c r="J8" s="12"/>
      <c r="K8" s="2"/>
      <c r="L8" s="2"/>
      <c r="M8" s="1" t="s">
        <v>27</v>
      </c>
      <c r="N8" s="1" t="s">
        <v>27</v>
      </c>
      <c r="O8" s="1" t="s">
        <v>27</v>
      </c>
      <c r="P8" s="1" t="s">
        <v>193</v>
      </c>
      <c r="Q8" s="2"/>
      <c r="R8" s="2"/>
      <c r="S8" s="1" t="s">
        <v>196</v>
      </c>
      <c r="T8" s="1" t="s">
        <v>27</v>
      </c>
      <c r="U8" s="1" t="s">
        <v>27</v>
      </c>
      <c r="V8" s="1" t="s">
        <v>27</v>
      </c>
      <c r="W8" s="1" t="s">
        <v>27</v>
      </c>
      <c r="X8" s="2"/>
      <c r="Y8" s="2"/>
      <c r="Z8" s="1" t="s">
        <v>27</v>
      </c>
      <c r="AA8" s="1" t="s">
        <v>27</v>
      </c>
      <c r="AB8" s="1" t="s">
        <v>27</v>
      </c>
      <c r="AC8" s="1" t="s">
        <v>27</v>
      </c>
      <c r="AD8" s="1" t="s">
        <v>27</v>
      </c>
      <c r="AE8" s="2"/>
      <c r="AF8" s="2"/>
      <c r="AG8" s="1"/>
    </row>
    <row r="9" spans="1:33">
      <c r="A9" s="1">
        <v>7</v>
      </c>
      <c r="B9" s="1" t="s">
        <v>9</v>
      </c>
      <c r="C9" s="2"/>
      <c r="D9" s="2"/>
      <c r="E9" s="1" t="s">
        <v>27</v>
      </c>
      <c r="F9" s="1" t="s">
        <v>27</v>
      </c>
      <c r="G9" s="1" t="s">
        <v>27</v>
      </c>
      <c r="H9" s="1" t="s">
        <v>27</v>
      </c>
      <c r="I9" s="1" t="s">
        <v>185</v>
      </c>
      <c r="J9" s="2"/>
      <c r="K9" s="2"/>
      <c r="L9" s="2"/>
      <c r="M9" s="1" t="s">
        <v>189</v>
      </c>
      <c r="N9" s="1" t="s">
        <v>27</v>
      </c>
      <c r="O9" s="1" t="s">
        <v>27</v>
      </c>
      <c r="P9" s="1" t="s">
        <v>198</v>
      </c>
      <c r="Q9" s="2"/>
      <c r="R9" s="2"/>
      <c r="S9" s="1" t="s">
        <v>197</v>
      </c>
      <c r="T9" s="1" t="s">
        <v>27</v>
      </c>
      <c r="U9" s="1" t="s">
        <v>200</v>
      </c>
      <c r="V9" s="1" t="s">
        <v>27</v>
      </c>
      <c r="W9" s="1" t="s">
        <v>27</v>
      </c>
      <c r="X9" s="2"/>
      <c r="Y9" s="2"/>
      <c r="Z9" s="1" t="s">
        <v>27</v>
      </c>
      <c r="AA9" s="1" t="s">
        <v>27</v>
      </c>
      <c r="AB9" s="1" t="s">
        <v>27</v>
      </c>
      <c r="AC9" s="1" t="s">
        <v>27</v>
      </c>
      <c r="AD9" s="1" t="s">
        <v>27</v>
      </c>
      <c r="AE9" s="2"/>
      <c r="AF9" s="2"/>
      <c r="AG9" s="1"/>
    </row>
    <row r="10" spans="1:33">
      <c r="A10" s="1">
        <v>8</v>
      </c>
      <c r="B10" s="1" t="s">
        <v>10</v>
      </c>
      <c r="C10" s="2"/>
      <c r="D10" s="2"/>
      <c r="E10" s="1" t="s">
        <v>26</v>
      </c>
      <c r="F10" s="1" t="s">
        <v>26</v>
      </c>
      <c r="G10" s="1" t="s">
        <v>26</v>
      </c>
      <c r="H10" s="1" t="s">
        <v>27</v>
      </c>
      <c r="I10" s="1" t="s">
        <v>184</v>
      </c>
      <c r="J10" s="15"/>
      <c r="K10" s="2"/>
      <c r="L10" s="15"/>
      <c r="M10" s="1" t="s">
        <v>183</v>
      </c>
      <c r="N10" s="1" t="s">
        <v>27</v>
      </c>
      <c r="O10" s="1" t="s">
        <v>27</v>
      </c>
      <c r="P10" s="1" t="s">
        <v>190</v>
      </c>
      <c r="Q10" s="2"/>
      <c r="R10" s="2"/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2"/>
      <c r="Y10" s="2"/>
      <c r="Z10" s="1" t="s">
        <v>26</v>
      </c>
      <c r="AA10" s="1" t="s">
        <v>26</v>
      </c>
      <c r="AB10" s="1" t="s">
        <v>26</v>
      </c>
      <c r="AC10" s="1" t="s">
        <v>26</v>
      </c>
      <c r="AD10" s="1" t="s">
        <v>26</v>
      </c>
      <c r="AE10" s="2"/>
      <c r="AF10" s="2"/>
      <c r="AG10" s="1"/>
    </row>
    <row r="11" spans="1:33">
      <c r="A11" s="1">
        <v>9</v>
      </c>
      <c r="B11" s="1" t="s">
        <v>11</v>
      </c>
      <c r="C11" s="2"/>
      <c r="D11" s="2"/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26</v>
      </c>
      <c r="J11" s="2"/>
      <c r="K11" s="2"/>
      <c r="L11" s="2"/>
      <c r="M11" s="1" t="s">
        <v>26</v>
      </c>
      <c r="N11" s="1" t="s">
        <v>26</v>
      </c>
      <c r="O11" s="1" t="s">
        <v>26</v>
      </c>
      <c r="P11" s="1" t="s">
        <v>26</v>
      </c>
      <c r="Q11" s="2"/>
      <c r="R11" s="2"/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2"/>
      <c r="Y11" s="2"/>
      <c r="Z11" s="1" t="s">
        <v>26</v>
      </c>
      <c r="AA11" s="1" t="s">
        <v>182</v>
      </c>
      <c r="AB11" s="1" t="s">
        <v>27</v>
      </c>
      <c r="AC11" s="1" t="s">
        <v>27</v>
      </c>
      <c r="AD11" s="1" t="s">
        <v>52</v>
      </c>
      <c r="AE11" s="2"/>
      <c r="AF11" s="2"/>
      <c r="AG11" s="1"/>
    </row>
    <row r="12" spans="1:33">
      <c r="A12" s="1">
        <v>10</v>
      </c>
      <c r="B12" s="1" t="s">
        <v>12</v>
      </c>
      <c r="C12" s="2"/>
      <c r="D12" s="2"/>
      <c r="E12" s="1" t="s">
        <v>26</v>
      </c>
      <c r="F12" s="1" t="s">
        <v>26</v>
      </c>
      <c r="G12" s="1" t="s">
        <v>26</v>
      </c>
      <c r="H12" s="1" t="s">
        <v>26</v>
      </c>
      <c r="I12" s="1" t="s">
        <v>26</v>
      </c>
      <c r="J12" s="2"/>
      <c r="K12" s="2"/>
      <c r="L12" s="2"/>
      <c r="M12" s="1" t="s">
        <v>26</v>
      </c>
      <c r="N12" s="1" t="s">
        <v>26</v>
      </c>
      <c r="O12" s="1" t="s">
        <v>26</v>
      </c>
      <c r="P12" s="1" t="s">
        <v>26</v>
      </c>
      <c r="Q12" s="2"/>
      <c r="R12" s="2"/>
      <c r="S12" s="1" t="s">
        <v>27</v>
      </c>
      <c r="T12" s="1" t="s">
        <v>27</v>
      </c>
      <c r="U12" s="1" t="s">
        <v>27</v>
      </c>
      <c r="V12" s="1" t="s">
        <v>182</v>
      </c>
      <c r="W12" s="1" t="s">
        <v>26</v>
      </c>
      <c r="X12" s="2"/>
      <c r="Y12" s="2"/>
      <c r="Z12" s="1" t="s">
        <v>26</v>
      </c>
      <c r="AA12" s="1" t="s">
        <v>26</v>
      </c>
      <c r="AB12" s="1" t="s">
        <v>26</v>
      </c>
      <c r="AC12" s="1" t="s">
        <v>26</v>
      </c>
      <c r="AD12" s="1" t="s">
        <v>26</v>
      </c>
      <c r="AE12" s="2"/>
      <c r="AF12" s="2"/>
      <c r="AG12" s="1"/>
    </row>
    <row r="13" spans="1:33">
      <c r="A13" s="1">
        <v>11</v>
      </c>
      <c r="B13" s="1" t="s">
        <v>13</v>
      </c>
      <c r="C13" s="2"/>
      <c r="D13" s="2"/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2"/>
      <c r="K13" s="2"/>
      <c r="L13" s="2"/>
      <c r="M13" s="1" t="s">
        <v>26</v>
      </c>
      <c r="N13" s="1" t="s">
        <v>26</v>
      </c>
      <c r="O13" s="1" t="s">
        <v>26</v>
      </c>
      <c r="P13" s="1" t="s">
        <v>26</v>
      </c>
      <c r="Q13" s="2"/>
      <c r="R13" s="2"/>
      <c r="S13" s="1" t="s">
        <v>26</v>
      </c>
      <c r="T13" s="1" t="s">
        <v>26</v>
      </c>
      <c r="U13" s="1" t="s">
        <v>26</v>
      </c>
      <c r="V13" s="1" t="s">
        <v>26</v>
      </c>
      <c r="W13" s="1" t="s">
        <v>26</v>
      </c>
      <c r="X13" s="2"/>
      <c r="Y13" s="2"/>
      <c r="Z13" s="1" t="s">
        <v>26</v>
      </c>
      <c r="AA13" s="1" t="s">
        <v>26</v>
      </c>
      <c r="AB13" s="1" t="s">
        <v>26</v>
      </c>
      <c r="AC13" s="1" t="s">
        <v>26</v>
      </c>
      <c r="AD13" s="1" t="s">
        <v>26</v>
      </c>
      <c r="AE13" s="2"/>
      <c r="AF13" s="2"/>
      <c r="AG13" s="1"/>
    </row>
    <row r="14" spans="1:33">
      <c r="A14" s="1">
        <v>12</v>
      </c>
      <c r="B14" s="1" t="s">
        <v>14</v>
      </c>
      <c r="C14" s="2"/>
      <c r="D14" s="2"/>
      <c r="E14" s="1" t="s">
        <v>26</v>
      </c>
      <c r="F14" s="1" t="s">
        <v>179</v>
      </c>
      <c r="G14" s="1" t="s">
        <v>26</v>
      </c>
      <c r="H14" s="1" t="s">
        <v>26</v>
      </c>
      <c r="I14" s="1" t="s">
        <v>26</v>
      </c>
      <c r="J14" s="2"/>
      <c r="K14" s="2"/>
      <c r="L14" s="2"/>
      <c r="M14" s="1" t="s">
        <v>26</v>
      </c>
      <c r="N14" s="1" t="s">
        <v>26</v>
      </c>
      <c r="O14" s="1" t="s">
        <v>26</v>
      </c>
      <c r="P14" s="1" t="s">
        <v>26</v>
      </c>
      <c r="Q14" s="2"/>
      <c r="R14" s="2"/>
      <c r="S14" s="1" t="s">
        <v>26</v>
      </c>
      <c r="T14" s="1" t="s">
        <v>199</v>
      </c>
      <c r="U14" s="1" t="s">
        <v>27</v>
      </c>
      <c r="V14" s="1" t="s">
        <v>201</v>
      </c>
      <c r="W14" s="1" t="s">
        <v>26</v>
      </c>
      <c r="X14" s="2"/>
      <c r="Y14" s="2"/>
      <c r="Z14" s="1" t="s">
        <v>26</v>
      </c>
      <c r="AA14" s="1" t="s">
        <v>26</v>
      </c>
      <c r="AB14" s="1" t="s">
        <v>26</v>
      </c>
      <c r="AC14" s="1" t="s">
        <v>26</v>
      </c>
      <c r="AD14" s="1" t="s">
        <v>26</v>
      </c>
      <c r="AE14" s="2"/>
      <c r="AF14" s="2"/>
      <c r="AG14" s="1"/>
    </row>
    <row r="15" spans="1:33" hidden="1">
      <c r="A15" s="1">
        <v>13</v>
      </c>
      <c r="B15" s="1" t="s">
        <v>15</v>
      </c>
      <c r="C15" s="2"/>
      <c r="D15" s="2"/>
      <c r="E15" s="1" t="s">
        <v>27</v>
      </c>
      <c r="F15" s="1" t="s">
        <v>27</v>
      </c>
      <c r="G15" s="1" t="s">
        <v>27</v>
      </c>
      <c r="H15" s="1" t="s">
        <v>27</v>
      </c>
      <c r="I15" s="1" t="s">
        <v>27</v>
      </c>
      <c r="J15" s="2"/>
      <c r="K15" s="2"/>
      <c r="L15" s="2"/>
      <c r="M15" s="1" t="s">
        <v>27</v>
      </c>
      <c r="N15" s="1" t="s">
        <v>27</v>
      </c>
      <c r="O15" s="1" t="s">
        <v>27</v>
      </c>
      <c r="P15" s="1" t="s">
        <v>27</v>
      </c>
      <c r="Q15" s="2"/>
      <c r="R15" s="2"/>
      <c r="S15" s="1" t="s">
        <v>194</v>
      </c>
      <c r="T15" s="1" t="s">
        <v>194</v>
      </c>
      <c r="U15" s="1" t="s">
        <v>27</v>
      </c>
      <c r="V15" s="1" t="s">
        <v>27</v>
      </c>
      <c r="W15" s="1" t="s">
        <v>27</v>
      </c>
      <c r="X15" s="2"/>
      <c r="Y15" s="2"/>
      <c r="Z15" s="1" t="s">
        <v>27</v>
      </c>
      <c r="AA15" s="1" t="s">
        <v>27</v>
      </c>
      <c r="AB15" s="1" t="s">
        <v>27</v>
      </c>
      <c r="AC15" s="1" t="s">
        <v>27</v>
      </c>
      <c r="AD15" s="1" t="s">
        <v>27</v>
      </c>
      <c r="AE15" s="2"/>
      <c r="AF15" s="2"/>
      <c r="AG15" s="1"/>
    </row>
    <row r="16" spans="1:33">
      <c r="A16" s="1">
        <v>14</v>
      </c>
      <c r="B16" s="1" t="s">
        <v>16</v>
      </c>
      <c r="C16" s="2"/>
      <c r="D16" s="2"/>
      <c r="E16" s="1" t="s">
        <v>27</v>
      </c>
      <c r="F16" s="1" t="s">
        <v>178</v>
      </c>
      <c r="G16" s="1" t="s">
        <v>27</v>
      </c>
      <c r="H16" s="1" t="s">
        <v>27</v>
      </c>
      <c r="I16" s="1" t="s">
        <v>186</v>
      </c>
      <c r="J16" s="2"/>
      <c r="K16" s="2"/>
      <c r="L16" s="2"/>
      <c r="M16" s="1" t="s">
        <v>27</v>
      </c>
      <c r="N16" s="1" t="s">
        <v>191</v>
      </c>
      <c r="O16" s="1" t="s">
        <v>27</v>
      </c>
      <c r="P16" s="1" t="s">
        <v>192</v>
      </c>
      <c r="Q16" s="2"/>
      <c r="R16" s="2"/>
      <c r="S16" s="1" t="s">
        <v>195</v>
      </c>
      <c r="T16" s="1" t="s">
        <v>27</v>
      </c>
      <c r="U16" s="1" t="s">
        <v>27</v>
      </c>
      <c r="V16" s="1" t="s">
        <v>27</v>
      </c>
      <c r="W16" s="1" t="s">
        <v>27</v>
      </c>
      <c r="X16" s="2"/>
      <c r="Y16" s="2"/>
      <c r="Z16" s="1" t="s">
        <v>27</v>
      </c>
      <c r="AA16" s="1" t="s">
        <v>202</v>
      </c>
      <c r="AB16" s="1" t="s">
        <v>27</v>
      </c>
      <c r="AC16" s="1" t="s">
        <v>27</v>
      </c>
      <c r="AD16" s="1" t="s">
        <v>108</v>
      </c>
      <c r="AE16" s="2"/>
      <c r="AF16" s="2"/>
      <c r="AG16" s="1"/>
    </row>
    <row r="17" spans="1:2">
      <c r="A17" s="5" t="s">
        <v>27</v>
      </c>
      <c r="B17" t="s">
        <v>24</v>
      </c>
    </row>
    <row r="18" spans="1:2">
      <c r="A18" s="4" t="s">
        <v>203</v>
      </c>
      <c r="B18" t="s">
        <v>25</v>
      </c>
    </row>
    <row r="19" spans="1:2">
      <c r="A19" s="8" t="s">
        <v>205</v>
      </c>
      <c r="B19" s="7" t="s">
        <v>40</v>
      </c>
    </row>
    <row r="21" spans="1:2">
      <c r="A21" s="13" t="s">
        <v>169</v>
      </c>
    </row>
    <row r="22" spans="1:2">
      <c r="A22" s="14" t="s">
        <v>170</v>
      </c>
    </row>
    <row r="23" spans="1:2">
      <c r="A23" s="14" t="s">
        <v>171</v>
      </c>
    </row>
    <row r="24" spans="1:2">
      <c r="A24" s="14" t="s">
        <v>167</v>
      </c>
    </row>
    <row r="25" spans="1:2">
      <c r="A25" s="14" t="s">
        <v>172</v>
      </c>
    </row>
    <row r="26" spans="1:2">
      <c r="A26" s="14" t="s">
        <v>173</v>
      </c>
    </row>
    <row r="27" spans="1:2">
      <c r="A27" s="14" t="s">
        <v>168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AH16"/>
  <sheetViews>
    <sheetView workbookViewId="0">
      <selection activeCell="AK9" sqref="AK9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0" width="8.83203125" hidden="1" customWidth="1"/>
    <col min="31" max="33" width="8.83203125" customWidth="1"/>
  </cols>
  <sheetData>
    <row r="1" spans="1:34" ht="27">
      <c r="A1" s="57" t="s">
        <v>17</v>
      </c>
      <c r="B1" s="57"/>
      <c r="C1" s="43" t="s">
        <v>176</v>
      </c>
      <c r="D1" s="53">
        <v>45444</v>
      </c>
      <c r="E1" s="53">
        <v>45445</v>
      </c>
      <c r="F1" s="53">
        <v>45446</v>
      </c>
      <c r="G1" s="53">
        <v>45447</v>
      </c>
      <c r="H1" s="53">
        <v>45448</v>
      </c>
      <c r="I1" s="53">
        <v>45449</v>
      </c>
      <c r="J1" s="53">
        <v>45450</v>
      </c>
      <c r="K1" s="53">
        <v>45451</v>
      </c>
      <c r="L1" s="53">
        <v>45452</v>
      </c>
      <c r="M1" s="53">
        <v>45453</v>
      </c>
      <c r="N1" s="53">
        <v>45454</v>
      </c>
      <c r="O1" s="53">
        <v>45455</v>
      </c>
      <c r="P1" s="53">
        <v>45456</v>
      </c>
      <c r="Q1" s="53">
        <v>45457</v>
      </c>
      <c r="R1" s="53">
        <v>45458</v>
      </c>
      <c r="S1" s="53">
        <v>45459</v>
      </c>
      <c r="T1" s="53">
        <v>45460</v>
      </c>
      <c r="U1" s="53">
        <v>45461</v>
      </c>
      <c r="V1" s="53">
        <v>45462</v>
      </c>
      <c r="W1" s="53">
        <v>45463</v>
      </c>
      <c r="X1" s="53">
        <v>45464</v>
      </c>
      <c r="Y1" s="53">
        <v>45465</v>
      </c>
      <c r="Z1" s="53">
        <v>45466</v>
      </c>
      <c r="AA1" s="53">
        <v>45467</v>
      </c>
      <c r="AB1" s="53">
        <v>45468</v>
      </c>
      <c r="AC1" s="53">
        <v>45469</v>
      </c>
      <c r="AD1" s="53">
        <v>45470</v>
      </c>
      <c r="AE1" s="53">
        <v>45471</v>
      </c>
      <c r="AF1" s="53">
        <v>45472</v>
      </c>
      <c r="AG1" s="53">
        <v>45473</v>
      </c>
      <c r="AH1" s="53"/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SUM(D3:AG3)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2"/>
      <c r="L3" s="2"/>
      <c r="M3" s="2"/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2"/>
      <c r="AG3" s="2"/>
      <c r="AH3" s="1"/>
    </row>
    <row r="4" spans="1:34">
      <c r="A4" s="1">
        <v>2</v>
      </c>
      <c r="B4" s="1" t="s">
        <v>4</v>
      </c>
      <c r="C4" s="1">
        <f t="shared" ref="C4:C16" si="0">SUM(D4:AG4)</f>
        <v>16</v>
      </c>
      <c r="D4" s="2"/>
      <c r="E4" s="2"/>
      <c r="F4" s="1">
        <v>0</v>
      </c>
      <c r="G4" s="1">
        <v>0</v>
      </c>
      <c r="H4" s="1">
        <v>0</v>
      </c>
      <c r="I4" s="1">
        <v>0</v>
      </c>
      <c r="J4" s="1">
        <v>0</v>
      </c>
      <c r="K4" s="2"/>
      <c r="L4" s="2"/>
      <c r="M4" s="2"/>
      <c r="N4" s="1">
        <v>16</v>
      </c>
      <c r="O4" s="1">
        <v>0</v>
      </c>
      <c r="P4" s="1">
        <v>0</v>
      </c>
      <c r="Q4" s="1">
        <v>0</v>
      </c>
      <c r="R4" s="2"/>
      <c r="S4" s="2"/>
      <c r="T4" s="1">
        <v>0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2"/>
      <c r="AG4" s="2"/>
      <c r="AH4" s="1"/>
    </row>
    <row r="5" spans="1:34">
      <c r="A5" s="1">
        <v>3</v>
      </c>
      <c r="B5" s="1" t="s">
        <v>5</v>
      </c>
      <c r="C5" s="1">
        <f t="shared" si="0"/>
        <v>0</v>
      </c>
      <c r="D5" s="2"/>
      <c r="E5" s="2"/>
      <c r="F5" s="1">
        <v>0</v>
      </c>
      <c r="G5" s="1">
        <v>0</v>
      </c>
      <c r="H5" s="1">
        <v>0</v>
      </c>
      <c r="I5" s="1">
        <v>0</v>
      </c>
      <c r="J5" s="1">
        <v>0</v>
      </c>
      <c r="K5" s="2"/>
      <c r="L5" s="2"/>
      <c r="M5" s="2"/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0</v>
      </c>
      <c r="U5" s="1">
        <v>0</v>
      </c>
      <c r="V5" s="1">
        <v>0</v>
      </c>
      <c r="W5" s="1">
        <v>0</v>
      </c>
      <c r="X5" s="1">
        <v>0</v>
      </c>
      <c r="Y5" s="2"/>
      <c r="Z5" s="2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2"/>
      <c r="AG5" s="2"/>
      <c r="AH5" s="1"/>
    </row>
    <row r="6" spans="1:34">
      <c r="A6" s="1">
        <v>4</v>
      </c>
      <c r="B6" s="1" t="s">
        <v>6</v>
      </c>
      <c r="C6" s="1">
        <f t="shared" si="0"/>
        <v>32</v>
      </c>
      <c r="D6" s="2"/>
      <c r="E6" s="2"/>
      <c r="F6" s="1">
        <v>0</v>
      </c>
      <c r="G6" s="1">
        <v>0</v>
      </c>
      <c r="H6" s="1">
        <v>0</v>
      </c>
      <c r="I6" s="1">
        <v>0</v>
      </c>
      <c r="J6" s="1">
        <v>0</v>
      </c>
      <c r="K6" s="2"/>
      <c r="L6" s="2"/>
      <c r="M6" s="2"/>
      <c r="N6" s="1">
        <v>0</v>
      </c>
      <c r="O6" s="1">
        <v>0</v>
      </c>
      <c r="P6" s="1">
        <v>0</v>
      </c>
      <c r="Q6" s="1">
        <v>0</v>
      </c>
      <c r="R6" s="2"/>
      <c r="S6" s="2"/>
      <c r="T6" s="1">
        <v>0</v>
      </c>
      <c r="U6" s="1">
        <v>0</v>
      </c>
      <c r="V6" s="1">
        <v>16</v>
      </c>
      <c r="W6" s="1">
        <v>16</v>
      </c>
      <c r="X6" s="1">
        <v>0</v>
      </c>
      <c r="Y6" s="2"/>
      <c r="Z6" s="2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2"/>
      <c r="AG6" s="2"/>
      <c r="AH6" s="1"/>
    </row>
    <row r="7" spans="1:34">
      <c r="A7" s="1">
        <v>5</v>
      </c>
      <c r="B7" s="1" t="s">
        <v>7</v>
      </c>
      <c r="C7" s="1">
        <f t="shared" si="0"/>
        <v>16</v>
      </c>
      <c r="D7" s="2"/>
      <c r="E7" s="2"/>
      <c r="F7" s="1">
        <v>0</v>
      </c>
      <c r="G7" s="1">
        <v>0</v>
      </c>
      <c r="H7" s="1">
        <v>0</v>
      </c>
      <c r="I7" s="1">
        <v>0</v>
      </c>
      <c r="J7" s="1">
        <v>0</v>
      </c>
      <c r="K7" s="2"/>
      <c r="L7" s="2"/>
      <c r="M7" s="2"/>
      <c r="N7" s="1">
        <v>0</v>
      </c>
      <c r="O7" s="1">
        <v>0</v>
      </c>
      <c r="P7" s="1">
        <v>0</v>
      </c>
      <c r="Q7" s="1">
        <v>0</v>
      </c>
      <c r="R7" s="2"/>
      <c r="S7" s="2"/>
      <c r="T7" s="1">
        <v>0</v>
      </c>
      <c r="U7" s="1">
        <v>0</v>
      </c>
      <c r="V7" s="1">
        <v>0</v>
      </c>
      <c r="W7" s="1">
        <v>0</v>
      </c>
      <c r="X7" s="1">
        <v>0</v>
      </c>
      <c r="Y7" s="2"/>
      <c r="Z7" s="2"/>
      <c r="AA7" s="1">
        <v>0</v>
      </c>
      <c r="AB7" s="1">
        <v>0</v>
      </c>
      <c r="AC7" s="1">
        <v>0</v>
      </c>
      <c r="AD7" s="1">
        <v>0</v>
      </c>
      <c r="AE7" s="1">
        <v>16</v>
      </c>
      <c r="AF7" s="2"/>
      <c r="AG7" s="2"/>
      <c r="AH7" s="1"/>
    </row>
    <row r="8" spans="1:34">
      <c r="A8" s="1">
        <v>6</v>
      </c>
      <c r="B8" s="1" t="s">
        <v>8</v>
      </c>
      <c r="C8" s="1">
        <f t="shared" si="0"/>
        <v>39</v>
      </c>
      <c r="D8" s="12"/>
      <c r="E8" s="12"/>
      <c r="F8" s="1">
        <v>4</v>
      </c>
      <c r="G8" s="1">
        <v>0</v>
      </c>
      <c r="H8" s="1">
        <v>0</v>
      </c>
      <c r="I8" s="1">
        <v>0</v>
      </c>
      <c r="J8" s="1">
        <v>0</v>
      </c>
      <c r="K8" s="12"/>
      <c r="L8" s="2"/>
      <c r="M8" s="2"/>
      <c r="N8" s="1">
        <v>0</v>
      </c>
      <c r="O8" s="1">
        <v>8</v>
      </c>
      <c r="P8" s="1">
        <v>0</v>
      </c>
      <c r="Q8" s="1">
        <v>16</v>
      </c>
      <c r="R8" s="2"/>
      <c r="S8" s="2"/>
      <c r="T8" s="1">
        <v>0</v>
      </c>
      <c r="U8" s="1">
        <v>0</v>
      </c>
      <c r="V8" s="1">
        <v>3</v>
      </c>
      <c r="W8" s="1">
        <v>0</v>
      </c>
      <c r="X8" s="1">
        <v>0</v>
      </c>
      <c r="Y8" s="2"/>
      <c r="Z8" s="2"/>
      <c r="AA8" s="1">
        <v>0</v>
      </c>
      <c r="AB8" s="1">
        <v>0</v>
      </c>
      <c r="AC8" s="1">
        <v>0</v>
      </c>
      <c r="AD8" s="1">
        <v>0</v>
      </c>
      <c r="AE8" s="1">
        <v>8</v>
      </c>
      <c r="AF8" s="2"/>
      <c r="AG8" s="2"/>
      <c r="AH8" s="1"/>
    </row>
    <row r="9" spans="1:34">
      <c r="A9" s="1">
        <v>7</v>
      </c>
      <c r="B9" s="1" t="s">
        <v>9</v>
      </c>
      <c r="C9" s="1">
        <f t="shared" si="0"/>
        <v>33</v>
      </c>
      <c r="D9" s="2"/>
      <c r="E9" s="2"/>
      <c r="F9" s="1">
        <v>0</v>
      </c>
      <c r="G9" s="1">
        <v>0</v>
      </c>
      <c r="H9" s="1">
        <v>0</v>
      </c>
      <c r="I9" s="1">
        <v>0</v>
      </c>
      <c r="J9" s="1">
        <v>16</v>
      </c>
      <c r="K9" s="2"/>
      <c r="L9" s="2"/>
      <c r="M9" s="2"/>
      <c r="N9" s="1">
        <v>1</v>
      </c>
      <c r="O9" s="1">
        <v>0</v>
      </c>
      <c r="P9" s="1">
        <v>0</v>
      </c>
      <c r="Q9" s="1">
        <v>0</v>
      </c>
      <c r="R9" s="2"/>
      <c r="S9" s="2"/>
      <c r="T9" s="1">
        <v>0</v>
      </c>
      <c r="U9" s="1">
        <v>0</v>
      </c>
      <c r="V9" s="1">
        <v>16</v>
      </c>
      <c r="W9" s="1">
        <v>0</v>
      </c>
      <c r="X9" s="1">
        <v>0</v>
      </c>
      <c r="Y9" s="2"/>
      <c r="Z9" s="2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2"/>
      <c r="AG9" s="2"/>
      <c r="AH9" s="1"/>
    </row>
    <row r="10" spans="1:34">
      <c r="A10" s="1">
        <v>8</v>
      </c>
      <c r="B10" s="1" t="s">
        <v>10</v>
      </c>
      <c r="C10" s="1">
        <f t="shared" si="0"/>
        <v>16</v>
      </c>
      <c r="D10" s="2"/>
      <c r="E10" s="2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5"/>
      <c r="L10" s="2"/>
      <c r="M10" s="15"/>
      <c r="N10" s="1">
        <v>16</v>
      </c>
      <c r="O10" s="1">
        <v>0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/>
      <c r="Z10" s="2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2"/>
      <c r="AG10" s="2"/>
      <c r="AH10" s="1"/>
    </row>
    <row r="11" spans="1:34">
      <c r="A11" s="1">
        <v>9</v>
      </c>
      <c r="B11" s="1" t="s">
        <v>11</v>
      </c>
      <c r="C11" s="1">
        <f t="shared" si="0"/>
        <v>32</v>
      </c>
      <c r="D11" s="2"/>
      <c r="E11" s="2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/>
      <c r="L11" s="2"/>
      <c r="M11" s="2"/>
      <c r="N11" s="1">
        <v>0</v>
      </c>
      <c r="O11" s="1">
        <v>0</v>
      </c>
      <c r="P11" s="1">
        <v>0</v>
      </c>
      <c r="Q11" s="1">
        <v>0</v>
      </c>
      <c r="R11" s="2"/>
      <c r="S11" s="2"/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2"/>
      <c r="Z11" s="2"/>
      <c r="AA11" s="1">
        <v>0</v>
      </c>
      <c r="AB11" s="1">
        <v>16</v>
      </c>
      <c r="AC11" s="1">
        <v>0</v>
      </c>
      <c r="AD11" s="1">
        <v>0</v>
      </c>
      <c r="AE11" s="1">
        <v>16</v>
      </c>
      <c r="AF11" s="2"/>
      <c r="AG11" s="2"/>
      <c r="AH11" s="1"/>
    </row>
    <row r="12" spans="1:34">
      <c r="A12" s="1">
        <v>10</v>
      </c>
      <c r="B12" s="1" t="s">
        <v>12</v>
      </c>
      <c r="C12" s="1">
        <f t="shared" si="0"/>
        <v>16</v>
      </c>
      <c r="D12" s="2"/>
      <c r="E12" s="2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2"/>
      <c r="L12" s="2"/>
      <c r="M12" s="2"/>
      <c r="N12" s="1">
        <v>0</v>
      </c>
      <c r="O12" s="1">
        <v>0</v>
      </c>
      <c r="P12" s="1">
        <v>0</v>
      </c>
      <c r="Q12" s="1">
        <v>0</v>
      </c>
      <c r="R12" s="2"/>
      <c r="S12" s="2"/>
      <c r="T12" s="1">
        <v>0</v>
      </c>
      <c r="U12" s="1">
        <v>0</v>
      </c>
      <c r="V12" s="1">
        <v>0</v>
      </c>
      <c r="W12" s="1">
        <v>16</v>
      </c>
      <c r="X12" s="1">
        <v>0</v>
      </c>
      <c r="Y12" s="2"/>
      <c r="Z12" s="2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2"/>
      <c r="AG12" s="2"/>
      <c r="AH12" s="1"/>
    </row>
    <row r="13" spans="1:34">
      <c r="A13" s="1">
        <v>11</v>
      </c>
      <c r="B13" s="1" t="s">
        <v>13</v>
      </c>
      <c r="C13" s="1">
        <f t="shared" si="0"/>
        <v>0</v>
      </c>
      <c r="D13" s="2"/>
      <c r="E13" s="2"/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2"/>
      <c r="L13" s="2"/>
      <c r="M13" s="2"/>
      <c r="N13" s="1">
        <v>0</v>
      </c>
      <c r="O13" s="1">
        <v>0</v>
      </c>
      <c r="P13" s="1">
        <v>0</v>
      </c>
      <c r="Q13" s="1">
        <v>0</v>
      </c>
      <c r="R13" s="2"/>
      <c r="S13" s="2"/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"/>
      <c r="Z13" s="2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2"/>
      <c r="AG13" s="2"/>
      <c r="AH13" s="1"/>
    </row>
    <row r="14" spans="1:34">
      <c r="A14" s="1">
        <v>12</v>
      </c>
      <c r="B14" s="1" t="s">
        <v>14</v>
      </c>
      <c r="C14" s="1">
        <f t="shared" si="0"/>
        <v>48</v>
      </c>
      <c r="D14" s="2"/>
      <c r="E14" s="2"/>
      <c r="F14" s="1">
        <v>0</v>
      </c>
      <c r="G14" s="1">
        <v>16</v>
      </c>
      <c r="H14" s="1">
        <v>0</v>
      </c>
      <c r="I14" s="1">
        <v>0</v>
      </c>
      <c r="J14" s="1">
        <v>0</v>
      </c>
      <c r="K14" s="2"/>
      <c r="L14" s="2"/>
      <c r="M14" s="2"/>
      <c r="N14" s="1">
        <v>0</v>
      </c>
      <c r="O14" s="1">
        <v>0</v>
      </c>
      <c r="P14" s="1">
        <v>0</v>
      </c>
      <c r="Q14" s="1">
        <v>0</v>
      </c>
      <c r="R14" s="2"/>
      <c r="S14" s="2"/>
      <c r="T14" s="1">
        <v>0</v>
      </c>
      <c r="U14" s="1">
        <v>16</v>
      </c>
      <c r="V14" s="1">
        <v>0</v>
      </c>
      <c r="W14" s="1">
        <v>16</v>
      </c>
      <c r="X14" s="1">
        <v>0</v>
      </c>
      <c r="Y14" s="2"/>
      <c r="Z14" s="2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2"/>
      <c r="AG14" s="2"/>
      <c r="AH14" s="1"/>
    </row>
    <row r="15" spans="1:34" hidden="1">
      <c r="A15" s="1">
        <v>13</v>
      </c>
      <c r="B15" s="1" t="s">
        <v>15</v>
      </c>
      <c r="C15" s="1">
        <f t="shared" si="0"/>
        <v>16</v>
      </c>
      <c r="D15" s="2"/>
      <c r="E15" s="2"/>
      <c r="F15" s="1">
        <v>0</v>
      </c>
      <c r="G15" s="1">
        <v>0</v>
      </c>
      <c r="H15" s="1">
        <v>0</v>
      </c>
      <c r="I15" s="1">
        <v>0</v>
      </c>
      <c r="J15" s="1">
        <v>8</v>
      </c>
      <c r="K15" s="2"/>
      <c r="L15" s="2"/>
      <c r="M15" s="2"/>
      <c r="N15" s="1">
        <v>0</v>
      </c>
      <c r="O15" s="1">
        <v>8</v>
      </c>
      <c r="P15" s="1">
        <v>0</v>
      </c>
      <c r="Q15" s="1">
        <v>0</v>
      </c>
      <c r="R15" s="2"/>
      <c r="S15" s="2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/>
      <c r="Z15" s="2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2"/>
      <c r="AG15" s="2"/>
      <c r="AH15" s="1"/>
    </row>
    <row r="16" spans="1:34">
      <c r="A16" s="1">
        <v>14</v>
      </c>
      <c r="B16" s="1" t="s">
        <v>16</v>
      </c>
      <c r="C16" s="1">
        <f t="shared" si="0"/>
        <v>21</v>
      </c>
      <c r="D16" s="2"/>
      <c r="E16" s="2"/>
      <c r="F16" s="1">
        <v>0</v>
      </c>
      <c r="G16" s="1">
        <v>0</v>
      </c>
      <c r="H16" s="1">
        <v>0</v>
      </c>
      <c r="I16" s="1">
        <v>0</v>
      </c>
      <c r="J16" s="1">
        <v>16</v>
      </c>
      <c r="K16" s="2"/>
      <c r="L16" s="2"/>
      <c r="M16" s="2"/>
      <c r="N16" s="1">
        <v>0</v>
      </c>
      <c r="O16" s="1">
        <v>2</v>
      </c>
      <c r="P16" s="1">
        <v>0</v>
      </c>
      <c r="Q16" s="1">
        <v>1</v>
      </c>
      <c r="R16" s="2"/>
      <c r="S16" s="2"/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/>
      <c r="Z16" s="2"/>
      <c r="AA16" s="1">
        <v>0</v>
      </c>
      <c r="AB16" s="1">
        <v>1</v>
      </c>
      <c r="AC16" s="1">
        <v>0</v>
      </c>
      <c r="AD16" s="1">
        <v>0</v>
      </c>
      <c r="AE16" s="1">
        <v>1</v>
      </c>
      <c r="AF16" s="2"/>
      <c r="AG16" s="2"/>
      <c r="AH16" s="1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AH16"/>
  <sheetViews>
    <sheetView workbookViewId="0">
      <selection activeCell="AF21" sqref="AF21"/>
    </sheetView>
  </sheetViews>
  <sheetFormatPr baseColWidth="10" defaultColWidth="8.83203125" defaultRowHeight="15"/>
  <cols>
    <col min="3" max="3" width="15.33203125" bestFit="1" customWidth="1"/>
    <col min="4" max="17" width="8.83203125" customWidth="1"/>
    <col min="18" max="18" width="7.83203125" customWidth="1"/>
    <col min="19" max="34" width="8.83203125" customWidth="1"/>
    <col min="35" max="35" width="0" hidden="1" customWidth="1"/>
  </cols>
  <sheetData>
    <row r="1" spans="1:34" ht="27">
      <c r="A1" s="59" t="s">
        <v>19</v>
      </c>
      <c r="B1" s="59"/>
      <c r="C1" s="43" t="s">
        <v>177</v>
      </c>
      <c r="D1" s="53">
        <v>45444</v>
      </c>
      <c r="E1" s="53">
        <v>45445</v>
      </c>
      <c r="F1" s="53">
        <v>45446</v>
      </c>
      <c r="G1" s="53">
        <v>45447</v>
      </c>
      <c r="H1" s="53">
        <v>45448</v>
      </c>
      <c r="I1" s="53">
        <v>45449</v>
      </c>
      <c r="J1" s="53">
        <v>45450</v>
      </c>
      <c r="K1" s="53">
        <v>45451</v>
      </c>
      <c r="L1" s="53">
        <v>45452</v>
      </c>
      <c r="M1" s="53">
        <v>45453</v>
      </c>
      <c r="N1" s="53">
        <v>45454</v>
      </c>
      <c r="O1" s="53">
        <v>45455</v>
      </c>
      <c r="P1" s="53">
        <v>45456</v>
      </c>
      <c r="Q1" s="53">
        <v>45457</v>
      </c>
      <c r="R1" s="53">
        <v>45458</v>
      </c>
      <c r="S1" s="53">
        <v>45459</v>
      </c>
      <c r="T1" s="53">
        <v>45460</v>
      </c>
      <c r="U1" s="53">
        <v>45461</v>
      </c>
      <c r="V1" s="53">
        <v>45462</v>
      </c>
      <c r="W1" s="53">
        <v>45463</v>
      </c>
      <c r="X1" s="53">
        <v>45464</v>
      </c>
      <c r="Y1" s="53">
        <v>45465</v>
      </c>
      <c r="Z1" s="53">
        <v>45466</v>
      </c>
      <c r="AA1" s="53">
        <v>45467</v>
      </c>
      <c r="AB1" s="53">
        <v>45468</v>
      </c>
      <c r="AC1" s="53">
        <v>45469</v>
      </c>
      <c r="AD1" s="53">
        <v>45470</v>
      </c>
      <c r="AE1" s="53">
        <v>45471</v>
      </c>
      <c r="AF1" s="53">
        <v>45472</v>
      </c>
      <c r="AG1" s="53">
        <v>45473</v>
      </c>
      <c r="AH1" s="53"/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 hidden="1">
      <c r="A3" s="1">
        <v>1</v>
      </c>
      <c r="B3" s="1" t="s">
        <v>3</v>
      </c>
      <c r="C3" s="1">
        <f t="shared" ref="C3:C16" si="0">SUM(D3:AG3)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2"/>
      <c r="L3" s="2"/>
      <c r="M3" s="2"/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2"/>
      <c r="AG3" s="2"/>
      <c r="AH3" s="1"/>
    </row>
    <row r="4" spans="1:34" hidden="1">
      <c r="A4" s="1">
        <v>2</v>
      </c>
      <c r="B4" s="1" t="s">
        <v>4</v>
      </c>
      <c r="C4" s="1">
        <f t="shared" si="0"/>
        <v>8</v>
      </c>
      <c r="D4" s="2"/>
      <c r="E4" s="2"/>
      <c r="F4" s="1">
        <v>0</v>
      </c>
      <c r="G4" s="1">
        <v>0</v>
      </c>
      <c r="H4" s="1">
        <v>0</v>
      </c>
      <c r="I4" s="1">
        <v>0</v>
      </c>
      <c r="J4" s="1">
        <v>0</v>
      </c>
      <c r="K4" s="2"/>
      <c r="L4" s="2"/>
      <c r="M4" s="2"/>
      <c r="N4" s="1">
        <v>6</v>
      </c>
      <c r="O4" s="1">
        <v>2</v>
      </c>
      <c r="P4" s="1">
        <v>0</v>
      </c>
      <c r="Q4" s="1">
        <v>0</v>
      </c>
      <c r="R4" s="2"/>
      <c r="S4" s="2"/>
      <c r="T4" s="1">
        <v>0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2"/>
      <c r="AG4" s="2"/>
      <c r="AH4" s="1"/>
    </row>
    <row r="5" spans="1:34" hidden="1">
      <c r="A5" s="1">
        <v>3</v>
      </c>
      <c r="B5" s="1" t="s">
        <v>5</v>
      </c>
      <c r="C5" s="1">
        <f t="shared" si="0"/>
        <v>1</v>
      </c>
      <c r="D5" s="2"/>
      <c r="E5" s="2"/>
      <c r="F5" s="1">
        <v>0</v>
      </c>
      <c r="G5" s="1">
        <v>0</v>
      </c>
      <c r="H5" s="1">
        <v>0</v>
      </c>
      <c r="I5" s="1">
        <v>0</v>
      </c>
      <c r="J5" s="1">
        <v>0</v>
      </c>
      <c r="K5" s="2"/>
      <c r="L5" s="2"/>
      <c r="M5" s="2"/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1</v>
      </c>
      <c r="U5" s="1">
        <v>0</v>
      </c>
      <c r="V5" s="1">
        <v>0</v>
      </c>
      <c r="W5" s="1">
        <v>0</v>
      </c>
      <c r="X5" s="1">
        <v>0</v>
      </c>
      <c r="Y5" s="2"/>
      <c r="Z5" s="2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2"/>
      <c r="AG5" s="2"/>
      <c r="AH5" s="1"/>
    </row>
    <row r="6" spans="1:34" hidden="1">
      <c r="A6" s="1">
        <v>4</v>
      </c>
      <c r="B6" s="1" t="s">
        <v>6</v>
      </c>
      <c r="C6" s="1">
        <f t="shared" si="0"/>
        <v>11</v>
      </c>
      <c r="D6" s="2"/>
      <c r="E6" s="2"/>
      <c r="F6" s="1">
        <v>0</v>
      </c>
      <c r="G6" s="1">
        <v>0</v>
      </c>
      <c r="H6" s="1">
        <v>0</v>
      </c>
      <c r="I6" s="1">
        <v>0</v>
      </c>
      <c r="J6" s="1">
        <v>0</v>
      </c>
      <c r="K6" s="2"/>
      <c r="L6" s="2"/>
      <c r="M6" s="2"/>
      <c r="N6" s="1">
        <v>0</v>
      </c>
      <c r="O6" s="1">
        <v>0</v>
      </c>
      <c r="P6" s="1">
        <v>0</v>
      </c>
      <c r="Q6" s="1">
        <v>0</v>
      </c>
      <c r="R6" s="2"/>
      <c r="S6" s="2"/>
      <c r="T6" s="1">
        <v>1</v>
      </c>
      <c r="U6" s="1">
        <v>4</v>
      </c>
      <c r="V6" s="1">
        <v>0</v>
      </c>
      <c r="W6" s="1">
        <v>0</v>
      </c>
      <c r="X6" s="1">
        <v>0</v>
      </c>
      <c r="Y6" s="2"/>
      <c r="Z6" s="2"/>
      <c r="AA6" s="1">
        <v>6</v>
      </c>
      <c r="AB6" s="1">
        <v>0</v>
      </c>
      <c r="AC6" s="1">
        <v>0</v>
      </c>
      <c r="AD6" s="1">
        <v>0</v>
      </c>
      <c r="AE6" s="1">
        <v>0</v>
      </c>
      <c r="AF6" s="2"/>
      <c r="AG6" s="2"/>
      <c r="AH6" s="1"/>
    </row>
    <row r="7" spans="1:34" hidden="1">
      <c r="A7" s="1">
        <v>5</v>
      </c>
      <c r="B7" s="1" t="s">
        <v>7</v>
      </c>
      <c r="C7" s="1">
        <f t="shared" si="0"/>
        <v>0</v>
      </c>
      <c r="D7" s="2"/>
      <c r="E7" s="2"/>
      <c r="F7" s="1">
        <v>0</v>
      </c>
      <c r="G7" s="1">
        <v>0</v>
      </c>
      <c r="H7" s="1">
        <v>0</v>
      </c>
      <c r="I7" s="1">
        <v>0</v>
      </c>
      <c r="J7" s="1">
        <v>0</v>
      </c>
      <c r="K7" s="2"/>
      <c r="L7" s="2"/>
      <c r="M7" s="2"/>
      <c r="N7" s="1">
        <v>0</v>
      </c>
      <c r="O7" s="1">
        <v>0</v>
      </c>
      <c r="P7" s="1">
        <v>0</v>
      </c>
      <c r="Q7" s="1">
        <v>0</v>
      </c>
      <c r="R7" s="2"/>
      <c r="S7" s="2"/>
      <c r="T7" s="1">
        <v>0</v>
      </c>
      <c r="U7" s="1">
        <v>0</v>
      </c>
      <c r="V7" s="1">
        <v>0</v>
      </c>
      <c r="W7" s="1">
        <v>0</v>
      </c>
      <c r="X7" s="1">
        <v>0</v>
      </c>
      <c r="Y7" s="2"/>
      <c r="Z7" s="2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2"/>
      <c r="AG7" s="2"/>
      <c r="AH7" s="1"/>
    </row>
    <row r="8" spans="1:34">
      <c r="A8" s="1">
        <v>6</v>
      </c>
      <c r="B8" s="1" t="s">
        <v>8</v>
      </c>
      <c r="C8" s="1">
        <f t="shared" si="0"/>
        <v>21</v>
      </c>
      <c r="D8" s="12"/>
      <c r="E8" s="12"/>
      <c r="F8" s="1">
        <v>0</v>
      </c>
      <c r="G8" s="1">
        <v>3</v>
      </c>
      <c r="H8" s="1">
        <v>2</v>
      </c>
      <c r="I8" s="1">
        <v>2</v>
      </c>
      <c r="J8" s="1">
        <v>2</v>
      </c>
      <c r="K8" s="12"/>
      <c r="L8" s="2"/>
      <c r="M8" s="2"/>
      <c r="N8" s="1">
        <v>1</v>
      </c>
      <c r="O8" s="1">
        <v>0</v>
      </c>
      <c r="P8" s="1">
        <v>1</v>
      </c>
      <c r="Q8" s="1">
        <v>0</v>
      </c>
      <c r="R8" s="2"/>
      <c r="S8" s="2"/>
      <c r="T8" s="1">
        <v>1</v>
      </c>
      <c r="U8" s="1">
        <v>2</v>
      </c>
      <c r="V8" s="1">
        <v>0</v>
      </c>
      <c r="W8" s="1">
        <v>2</v>
      </c>
      <c r="X8" s="1">
        <v>1</v>
      </c>
      <c r="Y8" s="2"/>
      <c r="Z8" s="2"/>
      <c r="AA8" s="1">
        <v>1</v>
      </c>
      <c r="AB8" s="1">
        <v>0</v>
      </c>
      <c r="AC8" s="1">
        <v>2</v>
      </c>
      <c r="AD8" s="1">
        <v>1</v>
      </c>
      <c r="AE8" s="1">
        <v>0</v>
      </c>
      <c r="AF8" s="2"/>
      <c r="AG8" s="2"/>
      <c r="AH8" s="1"/>
    </row>
    <row r="9" spans="1:34">
      <c r="A9" s="1">
        <v>7</v>
      </c>
      <c r="B9" s="1" t="s">
        <v>9</v>
      </c>
      <c r="C9" s="1">
        <f t="shared" si="0"/>
        <v>21</v>
      </c>
      <c r="D9" s="2"/>
      <c r="E9" s="2"/>
      <c r="F9" s="1">
        <v>2</v>
      </c>
      <c r="G9" s="1">
        <v>1</v>
      </c>
      <c r="H9" s="1">
        <v>0</v>
      </c>
      <c r="I9" s="1">
        <v>0</v>
      </c>
      <c r="J9" s="1">
        <v>0</v>
      </c>
      <c r="K9" s="2"/>
      <c r="L9" s="2"/>
      <c r="M9" s="2"/>
      <c r="N9" s="1">
        <v>2</v>
      </c>
      <c r="O9" s="1">
        <v>2</v>
      </c>
      <c r="P9" s="1">
        <v>3</v>
      </c>
      <c r="Q9" s="1">
        <v>2</v>
      </c>
      <c r="R9" s="2"/>
      <c r="S9" s="2"/>
      <c r="T9" s="1">
        <v>2</v>
      </c>
      <c r="U9" s="1">
        <v>0</v>
      </c>
      <c r="V9" s="1">
        <v>0</v>
      </c>
      <c r="W9" s="1">
        <v>7</v>
      </c>
      <c r="X9" s="1">
        <v>0</v>
      </c>
      <c r="Y9" s="2"/>
      <c r="Z9" s="2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2"/>
      <c r="AG9" s="2"/>
      <c r="AH9" s="1"/>
    </row>
    <row r="10" spans="1:34">
      <c r="A10" s="1">
        <v>8</v>
      </c>
      <c r="B10" s="1" t="s">
        <v>10</v>
      </c>
      <c r="C10" s="1">
        <f t="shared" si="0"/>
        <v>6</v>
      </c>
      <c r="D10" s="2"/>
      <c r="E10" s="2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5"/>
      <c r="L10" s="2"/>
      <c r="M10" s="15"/>
      <c r="N10" s="1">
        <v>0</v>
      </c>
      <c r="O10" s="1">
        <v>0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/>
      <c r="Z10" s="2"/>
      <c r="AA10" s="1">
        <v>6</v>
      </c>
      <c r="AB10" s="1">
        <v>0</v>
      </c>
      <c r="AC10" s="1">
        <v>0</v>
      </c>
      <c r="AD10" s="1">
        <v>0</v>
      </c>
      <c r="AE10" s="1">
        <v>0</v>
      </c>
      <c r="AF10" s="2"/>
      <c r="AG10" s="2"/>
      <c r="AH10" s="1"/>
    </row>
    <row r="11" spans="1:34">
      <c r="A11" s="1">
        <v>9</v>
      </c>
      <c r="B11" s="1" t="s">
        <v>11</v>
      </c>
      <c r="C11" s="1">
        <f t="shared" si="0"/>
        <v>14</v>
      </c>
      <c r="D11" s="2"/>
      <c r="E11" s="2"/>
      <c r="F11" s="1">
        <v>0</v>
      </c>
      <c r="G11" s="1">
        <v>0</v>
      </c>
      <c r="H11" s="1">
        <v>6</v>
      </c>
      <c r="I11" s="1">
        <v>0</v>
      </c>
      <c r="J11" s="1">
        <v>0</v>
      </c>
      <c r="K11" s="2"/>
      <c r="L11" s="2"/>
      <c r="M11" s="2"/>
      <c r="N11" s="1">
        <v>0</v>
      </c>
      <c r="O11" s="1">
        <v>0</v>
      </c>
      <c r="P11" s="1">
        <v>0</v>
      </c>
      <c r="Q11" s="1">
        <v>0</v>
      </c>
      <c r="R11" s="2"/>
      <c r="S11" s="2"/>
      <c r="T11" s="1">
        <v>2</v>
      </c>
      <c r="U11" s="1">
        <v>0</v>
      </c>
      <c r="V11" s="1">
        <v>0</v>
      </c>
      <c r="W11" s="1">
        <v>0</v>
      </c>
      <c r="X11" s="1">
        <v>0</v>
      </c>
      <c r="Y11" s="2"/>
      <c r="Z11" s="2"/>
      <c r="AA11" s="1">
        <v>6</v>
      </c>
      <c r="AB11" s="1">
        <v>0</v>
      </c>
      <c r="AC11" s="1">
        <v>0</v>
      </c>
      <c r="AD11" s="1">
        <v>0</v>
      </c>
      <c r="AE11" s="1">
        <v>0</v>
      </c>
      <c r="AF11" s="2"/>
      <c r="AG11" s="2"/>
      <c r="AH11" s="1"/>
    </row>
    <row r="12" spans="1:34">
      <c r="A12" s="1">
        <v>10</v>
      </c>
      <c r="B12" s="1" t="s">
        <v>12</v>
      </c>
      <c r="C12" s="1">
        <f t="shared" si="0"/>
        <v>0</v>
      </c>
      <c r="D12" s="2"/>
      <c r="E12" s="2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2"/>
      <c r="L12" s="2"/>
      <c r="M12" s="2"/>
      <c r="N12" s="1">
        <v>0</v>
      </c>
      <c r="O12" s="1">
        <v>0</v>
      </c>
      <c r="P12" s="1">
        <v>0</v>
      </c>
      <c r="Q12" s="1">
        <v>0</v>
      </c>
      <c r="R12" s="2"/>
      <c r="S12" s="2"/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/>
      <c r="Z12" s="2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2"/>
      <c r="AG12" s="2"/>
      <c r="AH12" s="1"/>
    </row>
    <row r="13" spans="1:34">
      <c r="A13" s="1">
        <v>11</v>
      </c>
      <c r="B13" s="1" t="s">
        <v>13</v>
      </c>
      <c r="C13" s="1">
        <f t="shared" si="0"/>
        <v>71</v>
      </c>
      <c r="D13" s="2"/>
      <c r="E13" s="2"/>
      <c r="F13" s="1">
        <v>0</v>
      </c>
      <c r="G13" s="1">
        <v>6</v>
      </c>
      <c r="H13" s="1">
        <v>0</v>
      </c>
      <c r="I13" s="1">
        <v>9</v>
      </c>
      <c r="J13" s="1">
        <v>0</v>
      </c>
      <c r="K13" s="2"/>
      <c r="L13" s="2"/>
      <c r="M13" s="2"/>
      <c r="N13" s="1">
        <v>6</v>
      </c>
      <c r="O13" s="1">
        <v>8</v>
      </c>
      <c r="P13" s="1">
        <v>6</v>
      </c>
      <c r="Q13" s="1">
        <v>0</v>
      </c>
      <c r="R13" s="2"/>
      <c r="S13" s="2"/>
      <c r="T13" s="1">
        <v>6</v>
      </c>
      <c r="U13" s="1">
        <v>8</v>
      </c>
      <c r="V13" s="1">
        <v>0</v>
      </c>
      <c r="W13" s="1">
        <v>6</v>
      </c>
      <c r="X13" s="1">
        <v>0</v>
      </c>
      <c r="Y13" s="2"/>
      <c r="Z13" s="2"/>
      <c r="AA13" s="1">
        <v>8</v>
      </c>
      <c r="AB13" s="1">
        <v>0</v>
      </c>
      <c r="AC13" s="1">
        <v>8</v>
      </c>
      <c r="AD13" s="1">
        <v>0</v>
      </c>
      <c r="AE13" s="1">
        <v>0</v>
      </c>
      <c r="AF13" s="2"/>
      <c r="AG13" s="2"/>
      <c r="AH13" s="1"/>
    </row>
    <row r="14" spans="1:34">
      <c r="A14" s="1">
        <v>12</v>
      </c>
      <c r="B14" s="1" t="s">
        <v>14</v>
      </c>
      <c r="C14" s="1">
        <f t="shared" si="0"/>
        <v>66</v>
      </c>
      <c r="D14" s="2"/>
      <c r="E14" s="2"/>
      <c r="F14" s="1">
        <v>0</v>
      </c>
      <c r="G14" s="1">
        <v>0</v>
      </c>
      <c r="H14" s="1">
        <v>8</v>
      </c>
      <c r="I14" s="1">
        <v>8</v>
      </c>
      <c r="J14" s="1">
        <v>8</v>
      </c>
      <c r="K14" s="2"/>
      <c r="L14" s="2"/>
      <c r="M14" s="2"/>
      <c r="N14" s="1">
        <v>6</v>
      </c>
      <c r="O14" s="1">
        <v>8</v>
      </c>
      <c r="P14" s="1">
        <v>6</v>
      </c>
      <c r="Q14" s="1">
        <v>0</v>
      </c>
      <c r="R14" s="2"/>
      <c r="S14" s="2"/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/>
      <c r="Z14" s="2"/>
      <c r="AA14" s="1">
        <v>8</v>
      </c>
      <c r="AB14" s="1">
        <v>0</v>
      </c>
      <c r="AC14" s="1">
        <v>8</v>
      </c>
      <c r="AD14" s="1">
        <v>6</v>
      </c>
      <c r="AE14" s="1">
        <v>0</v>
      </c>
      <c r="AF14" s="2"/>
      <c r="AG14" s="2"/>
      <c r="AH14" s="1"/>
    </row>
    <row r="15" spans="1:34">
      <c r="A15" s="1">
        <v>13</v>
      </c>
      <c r="B15" s="1" t="s">
        <v>15</v>
      </c>
      <c r="C15" s="1">
        <f t="shared" si="0"/>
        <v>0</v>
      </c>
      <c r="D15" s="2"/>
      <c r="E15" s="2"/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/>
      <c r="L15" s="2"/>
      <c r="M15" s="2"/>
      <c r="N15" s="1">
        <v>0</v>
      </c>
      <c r="O15" s="1">
        <v>0</v>
      </c>
      <c r="P15" s="1">
        <v>0</v>
      </c>
      <c r="Q15" s="1">
        <v>0</v>
      </c>
      <c r="R15" s="2"/>
      <c r="S15" s="2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/>
      <c r="Z15" s="2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2"/>
      <c r="AG15" s="2"/>
      <c r="AH15" s="1"/>
    </row>
    <row r="16" spans="1:34">
      <c r="A16" s="1">
        <v>14</v>
      </c>
      <c r="B16" s="1" t="s">
        <v>16</v>
      </c>
      <c r="C16" s="1">
        <f t="shared" si="0"/>
        <v>7</v>
      </c>
      <c r="D16" s="2"/>
      <c r="E16" s="2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2"/>
      <c r="L16" s="2"/>
      <c r="M16" s="2"/>
      <c r="N16" s="1">
        <v>3</v>
      </c>
      <c r="O16" s="1">
        <v>3</v>
      </c>
      <c r="P16" s="1">
        <v>0</v>
      </c>
      <c r="Q16" s="1">
        <v>0</v>
      </c>
      <c r="R16" s="2"/>
      <c r="S16" s="2"/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/>
      <c r="Z16" s="2"/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2"/>
      <c r="AG16" s="2"/>
      <c r="AH16" s="1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27"/>
  <sheetViews>
    <sheetView topLeftCell="K1" zoomScaleNormal="100" workbookViewId="0">
      <selection activeCell="AF1" sqref="AF1:AF1048576"/>
    </sheetView>
  </sheetViews>
  <sheetFormatPr baseColWidth="10" defaultColWidth="8.83203125" defaultRowHeight="15"/>
  <cols>
    <col min="3" max="33" width="8.83203125" customWidth="1"/>
  </cols>
  <sheetData>
    <row r="1" spans="1:33" ht="27">
      <c r="A1" s="55" t="s">
        <v>0</v>
      </c>
      <c r="B1" s="55"/>
      <c r="C1" s="53">
        <v>45474</v>
      </c>
      <c r="D1" s="53">
        <v>45475</v>
      </c>
      <c r="E1" s="53">
        <v>45476</v>
      </c>
      <c r="F1" s="53">
        <v>45477</v>
      </c>
      <c r="G1" s="53">
        <v>45478</v>
      </c>
      <c r="H1" s="53">
        <v>45479</v>
      </c>
      <c r="I1" s="53">
        <v>45480</v>
      </c>
      <c r="J1" s="53">
        <v>45481</v>
      </c>
      <c r="K1" s="53">
        <v>45482</v>
      </c>
      <c r="L1" s="53">
        <v>45483</v>
      </c>
      <c r="M1" s="53">
        <v>45484</v>
      </c>
      <c r="N1" s="53">
        <v>45485</v>
      </c>
      <c r="O1" s="53">
        <v>45486</v>
      </c>
      <c r="P1" s="53">
        <v>45487</v>
      </c>
      <c r="Q1" s="53">
        <v>45488</v>
      </c>
      <c r="R1" s="53">
        <v>45489</v>
      </c>
      <c r="S1" s="53">
        <v>45490</v>
      </c>
      <c r="T1" s="53">
        <v>45491</v>
      </c>
      <c r="U1" s="53">
        <v>45492</v>
      </c>
      <c r="V1" s="53">
        <v>45493</v>
      </c>
      <c r="W1" s="53">
        <v>45494</v>
      </c>
      <c r="X1" s="53">
        <v>45495</v>
      </c>
      <c r="Y1" s="53">
        <v>45496</v>
      </c>
      <c r="Z1" s="53">
        <v>45497</v>
      </c>
      <c r="AA1" s="53">
        <v>45498</v>
      </c>
      <c r="AB1" s="53">
        <v>45499</v>
      </c>
      <c r="AC1" s="53">
        <v>45500</v>
      </c>
      <c r="AD1" s="53">
        <v>45501</v>
      </c>
      <c r="AE1" s="53">
        <v>45502</v>
      </c>
      <c r="AF1" s="53">
        <v>45503</v>
      </c>
      <c r="AG1" s="53">
        <v>45504</v>
      </c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2"/>
      <c r="I3" s="2"/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2"/>
      <c r="P3" s="2"/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2"/>
      <c r="W3" s="2"/>
      <c r="X3" s="1" t="s">
        <v>27</v>
      </c>
      <c r="Y3" s="1" t="s">
        <v>27</v>
      </c>
      <c r="Z3" s="16"/>
      <c r="AA3" s="16"/>
      <c r="AB3" s="1" t="s">
        <v>27</v>
      </c>
      <c r="AC3" s="2"/>
      <c r="AD3" s="2"/>
      <c r="AE3" s="1" t="s">
        <v>27</v>
      </c>
      <c r="AF3" s="1" t="s">
        <v>27</v>
      </c>
      <c r="AG3" s="1" t="s">
        <v>26</v>
      </c>
    </row>
    <row r="4" spans="1:33">
      <c r="A4" s="1">
        <v>2</v>
      </c>
      <c r="B4" s="1" t="s">
        <v>4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2"/>
      <c r="I4" s="2"/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2"/>
      <c r="P4" s="2"/>
      <c r="Q4" s="1" t="s">
        <v>26</v>
      </c>
      <c r="R4" s="1" t="s">
        <v>27</v>
      </c>
      <c r="S4" s="1" t="s">
        <v>27</v>
      </c>
      <c r="T4" s="1" t="s">
        <v>216</v>
      </c>
      <c r="U4" s="1" t="s">
        <v>27</v>
      </c>
      <c r="V4" s="2"/>
      <c r="W4" s="2"/>
      <c r="X4" s="1" t="s">
        <v>27</v>
      </c>
      <c r="Y4" s="1" t="s">
        <v>27</v>
      </c>
      <c r="Z4" s="16"/>
      <c r="AA4" s="16"/>
      <c r="AB4" s="1" t="s">
        <v>220</v>
      </c>
      <c r="AC4" s="2"/>
      <c r="AD4" s="2"/>
      <c r="AE4" s="1" t="s">
        <v>27</v>
      </c>
      <c r="AF4" s="1" t="s">
        <v>27</v>
      </c>
      <c r="AG4" s="1" t="s">
        <v>26</v>
      </c>
    </row>
    <row r="5" spans="1:33">
      <c r="A5" s="1">
        <v>3</v>
      </c>
      <c r="B5" s="1" t="s">
        <v>5</v>
      </c>
      <c r="C5" s="1" t="s">
        <v>207</v>
      </c>
      <c r="D5" s="1" t="s">
        <v>27</v>
      </c>
      <c r="E5" s="1" t="s">
        <v>27</v>
      </c>
      <c r="F5" s="1" t="s">
        <v>213</v>
      </c>
      <c r="G5" s="1" t="s">
        <v>27</v>
      </c>
      <c r="H5" s="2"/>
      <c r="I5" s="2"/>
      <c r="J5" s="1" t="s">
        <v>27</v>
      </c>
      <c r="K5" s="1" t="s">
        <v>27</v>
      </c>
      <c r="L5" s="1" t="s">
        <v>27</v>
      </c>
      <c r="M5" s="1" t="s">
        <v>215</v>
      </c>
      <c r="N5" s="1" t="s">
        <v>27</v>
      </c>
      <c r="O5" s="2"/>
      <c r="P5" s="2"/>
      <c r="Q5" s="1" t="s">
        <v>27</v>
      </c>
      <c r="R5" s="1" t="s">
        <v>27</v>
      </c>
      <c r="S5" s="1" t="s">
        <v>27</v>
      </c>
      <c r="T5" s="1" t="s">
        <v>217</v>
      </c>
      <c r="U5" s="1" t="s">
        <v>27</v>
      </c>
      <c r="V5" s="2"/>
      <c r="W5" s="2"/>
      <c r="X5" s="1" t="s">
        <v>27</v>
      </c>
      <c r="Y5" s="1" t="s">
        <v>27</v>
      </c>
      <c r="Z5" s="16"/>
      <c r="AA5" s="16"/>
      <c r="AB5" s="1" t="s">
        <v>27</v>
      </c>
      <c r="AC5" s="2"/>
      <c r="AD5" s="2"/>
      <c r="AE5" s="1" t="s">
        <v>27</v>
      </c>
      <c r="AF5" s="1" t="s">
        <v>27</v>
      </c>
      <c r="AG5" s="1" t="s">
        <v>27</v>
      </c>
    </row>
    <row r="6" spans="1:33">
      <c r="A6" s="1">
        <v>4</v>
      </c>
      <c r="B6" s="1" t="s">
        <v>6</v>
      </c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2"/>
      <c r="I6" s="2"/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2"/>
      <c r="P6" s="2"/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2"/>
      <c r="W6" s="2"/>
      <c r="X6" s="1" t="s">
        <v>26</v>
      </c>
      <c r="Y6" s="1" t="s">
        <v>27</v>
      </c>
      <c r="Z6" s="16"/>
      <c r="AA6" s="16"/>
      <c r="AB6" s="1" t="s">
        <v>218</v>
      </c>
      <c r="AC6" s="2"/>
      <c r="AD6" s="2"/>
      <c r="AE6" s="1" t="s">
        <v>26</v>
      </c>
      <c r="AF6" s="1" t="s">
        <v>26</v>
      </c>
      <c r="AG6" s="1" t="s">
        <v>26</v>
      </c>
    </row>
    <row r="7" spans="1:33">
      <c r="A7" s="1">
        <v>5</v>
      </c>
      <c r="B7" s="1" t="s">
        <v>7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26</v>
      </c>
      <c r="H7" s="2"/>
      <c r="I7" s="2"/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2"/>
      <c r="P7" s="2"/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2"/>
      <c r="W7" s="2"/>
      <c r="X7" s="1" t="s">
        <v>26</v>
      </c>
      <c r="Y7" s="1" t="s">
        <v>27</v>
      </c>
      <c r="Z7" s="16"/>
      <c r="AA7" s="16"/>
      <c r="AB7" s="1" t="s">
        <v>27</v>
      </c>
      <c r="AC7" s="2"/>
      <c r="AD7" s="2"/>
      <c r="AE7" s="1" t="s">
        <v>222</v>
      </c>
      <c r="AF7" s="1" t="s">
        <v>26</v>
      </c>
      <c r="AG7" s="1" t="s">
        <v>26</v>
      </c>
    </row>
    <row r="8" spans="1:33">
      <c r="A8" s="1">
        <v>6</v>
      </c>
      <c r="B8" s="1" t="s">
        <v>8</v>
      </c>
      <c r="C8" s="1" t="s">
        <v>27</v>
      </c>
      <c r="D8" s="1" t="s">
        <v>27</v>
      </c>
      <c r="E8" s="1" t="s">
        <v>27</v>
      </c>
      <c r="F8" s="1" t="s">
        <v>27</v>
      </c>
      <c r="G8" s="1" t="s">
        <v>27</v>
      </c>
      <c r="H8" s="2"/>
      <c r="I8" s="2"/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2"/>
      <c r="P8" s="2"/>
      <c r="Q8" s="1" t="s">
        <v>27</v>
      </c>
      <c r="R8" s="1" t="s">
        <v>27</v>
      </c>
      <c r="S8" s="1" t="s">
        <v>27</v>
      </c>
      <c r="T8" s="1" t="s">
        <v>27</v>
      </c>
      <c r="U8" s="1" t="s">
        <v>27</v>
      </c>
      <c r="V8" s="2"/>
      <c r="W8" s="2"/>
      <c r="X8" s="1" t="s">
        <v>27</v>
      </c>
      <c r="Y8" s="1" t="s">
        <v>27</v>
      </c>
      <c r="Z8" s="16"/>
      <c r="AA8" s="16"/>
      <c r="AB8" s="1" t="s">
        <v>219</v>
      </c>
      <c r="AC8" s="2"/>
      <c r="AD8" s="2"/>
      <c r="AE8" s="1" t="s">
        <v>223</v>
      </c>
      <c r="AF8" s="1" t="s">
        <v>27</v>
      </c>
      <c r="AG8" s="1" t="s">
        <v>27</v>
      </c>
    </row>
    <row r="9" spans="1:33">
      <c r="A9" s="1">
        <v>7</v>
      </c>
      <c r="B9" s="1" t="s">
        <v>9</v>
      </c>
      <c r="C9" s="1" t="s">
        <v>206</v>
      </c>
      <c r="D9" s="1" t="s">
        <v>27</v>
      </c>
      <c r="E9" s="1" t="s">
        <v>27</v>
      </c>
      <c r="F9" s="1" t="s">
        <v>27</v>
      </c>
      <c r="G9" s="1" t="s">
        <v>27</v>
      </c>
      <c r="H9" s="2"/>
      <c r="I9" s="2"/>
      <c r="J9" s="1" t="s">
        <v>27</v>
      </c>
      <c r="K9" s="1" t="s">
        <v>108</v>
      </c>
      <c r="L9" s="1" t="s">
        <v>27</v>
      </c>
      <c r="M9" s="1" t="s">
        <v>27</v>
      </c>
      <c r="N9" s="1" t="s">
        <v>214</v>
      </c>
      <c r="O9" s="2"/>
      <c r="P9" s="2"/>
      <c r="Q9" s="1" t="s">
        <v>27</v>
      </c>
      <c r="R9" s="1" t="s">
        <v>27</v>
      </c>
      <c r="S9" s="1" t="s">
        <v>27</v>
      </c>
      <c r="T9" s="1" t="s">
        <v>27</v>
      </c>
      <c r="U9" s="1" t="s">
        <v>27</v>
      </c>
      <c r="V9" s="2"/>
      <c r="W9" s="2"/>
      <c r="X9" s="1" t="s">
        <v>27</v>
      </c>
      <c r="Y9" s="1" t="s">
        <v>27</v>
      </c>
      <c r="Z9" s="16"/>
      <c r="AA9" s="16"/>
      <c r="AB9" s="1" t="s">
        <v>218</v>
      </c>
      <c r="AC9" s="2"/>
      <c r="AD9" s="2"/>
      <c r="AE9" s="1" t="s">
        <v>223</v>
      </c>
      <c r="AF9" s="1" t="s">
        <v>27</v>
      </c>
      <c r="AG9" s="1" t="s">
        <v>27</v>
      </c>
    </row>
    <row r="10" spans="1:33">
      <c r="A10" s="1">
        <v>8</v>
      </c>
      <c r="B10" s="1" t="s">
        <v>10</v>
      </c>
      <c r="C10" s="1" t="s">
        <v>26</v>
      </c>
      <c r="D10" s="1" t="s">
        <v>26</v>
      </c>
      <c r="E10" s="1" t="s">
        <v>26</v>
      </c>
      <c r="F10" s="1" t="s">
        <v>26</v>
      </c>
      <c r="G10" s="1" t="s">
        <v>26</v>
      </c>
      <c r="H10" s="2"/>
      <c r="I10" s="2"/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2"/>
      <c r="P10" s="2"/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2"/>
      <c r="W10" s="2"/>
      <c r="X10" s="1" t="s">
        <v>26</v>
      </c>
      <c r="Y10" s="1" t="s">
        <v>26</v>
      </c>
      <c r="Z10" s="16"/>
      <c r="AA10" s="16"/>
      <c r="AB10" s="1" t="s">
        <v>26</v>
      </c>
      <c r="AC10" s="2"/>
      <c r="AD10" s="2"/>
      <c r="AE10" s="1" t="s">
        <v>27</v>
      </c>
      <c r="AF10" s="1" t="s">
        <v>27</v>
      </c>
      <c r="AG10" s="1" t="s">
        <v>27</v>
      </c>
    </row>
    <row r="11" spans="1:33">
      <c r="A11" s="1">
        <v>9</v>
      </c>
      <c r="B11" s="1" t="s">
        <v>11</v>
      </c>
      <c r="C11" s="1" t="s">
        <v>26</v>
      </c>
      <c r="D11" s="1" t="s">
        <v>26</v>
      </c>
      <c r="E11" s="1" t="s">
        <v>26</v>
      </c>
      <c r="F11" s="1" t="s">
        <v>26</v>
      </c>
      <c r="G11" s="1" t="s">
        <v>26</v>
      </c>
      <c r="H11" s="2"/>
      <c r="I11" s="2"/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2"/>
      <c r="P11" s="2"/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2"/>
      <c r="W11" s="2"/>
      <c r="X11" s="1" t="s">
        <v>26</v>
      </c>
      <c r="Y11" s="1" t="s">
        <v>27</v>
      </c>
      <c r="Z11" s="16"/>
      <c r="AA11" s="16"/>
      <c r="AB11" s="1" t="s">
        <v>27</v>
      </c>
      <c r="AC11" s="2"/>
      <c r="AD11" s="2"/>
      <c r="AE11" s="1" t="s">
        <v>224</v>
      </c>
      <c r="AF11" s="1" t="s">
        <v>227</v>
      </c>
      <c r="AG11" s="1" t="s">
        <v>26</v>
      </c>
    </row>
    <row r="12" spans="1:33">
      <c r="A12" s="1">
        <v>10</v>
      </c>
      <c r="B12" s="1" t="s">
        <v>12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26</v>
      </c>
      <c r="H12" s="2"/>
      <c r="I12" s="2"/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2"/>
      <c r="P12" s="2"/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2"/>
      <c r="W12" s="2"/>
      <c r="X12" s="1" t="s">
        <v>26</v>
      </c>
      <c r="Y12" s="1" t="s">
        <v>27</v>
      </c>
      <c r="Z12" s="16"/>
      <c r="AA12" s="16"/>
      <c r="AB12" s="1" t="s">
        <v>27</v>
      </c>
      <c r="AC12" s="2"/>
      <c r="AD12" s="2"/>
      <c r="AE12" s="1" t="s">
        <v>222</v>
      </c>
      <c r="AF12" s="1" t="s">
        <v>26</v>
      </c>
      <c r="AG12" s="1" t="s">
        <v>26</v>
      </c>
    </row>
    <row r="13" spans="1:33">
      <c r="A13" s="1">
        <v>11</v>
      </c>
      <c r="B13" s="1" t="s">
        <v>13</v>
      </c>
      <c r="C13" s="1" t="s">
        <v>26</v>
      </c>
      <c r="D13" s="1" t="s">
        <v>27</v>
      </c>
      <c r="E13" s="1" t="s">
        <v>27</v>
      </c>
      <c r="F13" s="1" t="s">
        <v>210</v>
      </c>
      <c r="G13" s="1" t="s">
        <v>212</v>
      </c>
      <c r="H13" s="2"/>
      <c r="I13" s="2"/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2"/>
      <c r="P13" s="2"/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2"/>
      <c r="W13" s="2"/>
      <c r="X13" s="1" t="s">
        <v>26</v>
      </c>
      <c r="Y13" s="1" t="s">
        <v>27</v>
      </c>
      <c r="Z13" s="16"/>
      <c r="AA13" s="16"/>
      <c r="AB13" s="1" t="s">
        <v>221</v>
      </c>
      <c r="AC13" s="2"/>
      <c r="AD13" s="2"/>
      <c r="AE13" s="1" t="s">
        <v>225</v>
      </c>
      <c r="AF13" s="1" t="s">
        <v>27</v>
      </c>
      <c r="AG13" s="1" t="s">
        <v>228</v>
      </c>
    </row>
    <row r="14" spans="1:33">
      <c r="A14" s="1">
        <v>12</v>
      </c>
      <c r="B14" s="1" t="s">
        <v>14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2"/>
      <c r="I14" s="2"/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2"/>
      <c r="P14" s="2"/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2"/>
      <c r="W14" s="2"/>
      <c r="X14" s="1" t="s">
        <v>26</v>
      </c>
      <c r="Y14" s="1" t="s">
        <v>26</v>
      </c>
      <c r="Z14" s="16"/>
      <c r="AA14" s="16"/>
      <c r="AB14" s="1" t="s">
        <v>26</v>
      </c>
      <c r="AC14" s="2"/>
      <c r="AD14" s="2"/>
      <c r="AE14" s="1" t="s">
        <v>26</v>
      </c>
      <c r="AF14" s="1" t="s">
        <v>182</v>
      </c>
      <c r="AG14" s="1" t="s">
        <v>229</v>
      </c>
    </row>
    <row r="15" spans="1:33" hidden="1">
      <c r="A15" s="1">
        <v>13</v>
      </c>
      <c r="B15" s="1" t="s">
        <v>15</v>
      </c>
      <c r="C15" s="1" t="s">
        <v>27</v>
      </c>
      <c r="D15" s="1" t="s">
        <v>27</v>
      </c>
      <c r="E15" s="1" t="s">
        <v>27</v>
      </c>
      <c r="F15" s="1" t="s">
        <v>27</v>
      </c>
      <c r="G15" s="1"/>
      <c r="H15" s="2"/>
      <c r="I15" s="2"/>
      <c r="J15" s="1"/>
      <c r="K15" s="1"/>
      <c r="L15" s="1"/>
      <c r="M15" s="1"/>
      <c r="N15" s="1"/>
      <c r="O15" s="2"/>
      <c r="P15" s="2"/>
      <c r="Q15" s="1"/>
      <c r="R15" s="1"/>
      <c r="S15" s="1"/>
      <c r="T15" s="1"/>
      <c r="U15" s="1"/>
      <c r="V15" s="2"/>
      <c r="W15" s="2"/>
      <c r="X15" s="1"/>
      <c r="Y15" s="1"/>
      <c r="Z15" s="16"/>
      <c r="AA15" s="16"/>
      <c r="AB15" s="1"/>
      <c r="AC15" s="2"/>
      <c r="AD15" s="2"/>
      <c r="AE15" s="1"/>
      <c r="AF15" s="1" t="s">
        <v>182</v>
      </c>
      <c r="AG15" s="1"/>
    </row>
    <row r="16" spans="1:33">
      <c r="A16" s="1">
        <v>13</v>
      </c>
      <c r="B16" s="1" t="s">
        <v>16</v>
      </c>
      <c r="C16" s="1" t="s">
        <v>206</v>
      </c>
      <c r="D16" s="1" t="s">
        <v>27</v>
      </c>
      <c r="E16" s="1" t="s">
        <v>27</v>
      </c>
      <c r="F16" s="1" t="s">
        <v>211</v>
      </c>
      <c r="G16" s="1" t="s">
        <v>27</v>
      </c>
      <c r="H16" s="2"/>
      <c r="I16" s="2"/>
      <c r="J16" s="1" t="s">
        <v>27</v>
      </c>
      <c r="K16" s="1" t="s">
        <v>27</v>
      </c>
      <c r="L16" s="1" t="s">
        <v>41</v>
      </c>
      <c r="M16" s="1" t="s">
        <v>27</v>
      </c>
      <c r="N16" s="1" t="s">
        <v>27</v>
      </c>
      <c r="O16" s="2"/>
      <c r="P16" s="2"/>
      <c r="Q16" s="1" t="s">
        <v>27</v>
      </c>
      <c r="R16" s="1" t="s">
        <v>27</v>
      </c>
      <c r="S16" s="1" t="s">
        <v>27</v>
      </c>
      <c r="T16" s="1" t="s">
        <v>27</v>
      </c>
      <c r="U16" s="1" t="s">
        <v>27</v>
      </c>
      <c r="V16" s="2"/>
      <c r="W16" s="2"/>
      <c r="X16" s="1" t="s">
        <v>27</v>
      </c>
      <c r="Y16" s="1" t="s">
        <v>27</v>
      </c>
      <c r="Z16" s="16"/>
      <c r="AA16" s="16"/>
      <c r="AB16" s="1" t="s">
        <v>218</v>
      </c>
      <c r="AC16" s="2"/>
      <c r="AD16" s="2"/>
      <c r="AE16" s="1" t="s">
        <v>225</v>
      </c>
      <c r="AF16" s="1" t="s">
        <v>182</v>
      </c>
      <c r="AG16" s="1" t="s">
        <v>26</v>
      </c>
    </row>
    <row r="17" spans="1:2">
      <c r="A17" s="5" t="s">
        <v>27</v>
      </c>
      <c r="B17" t="s">
        <v>24</v>
      </c>
    </row>
    <row r="18" spans="1:2">
      <c r="A18" s="4" t="s">
        <v>226</v>
      </c>
      <c r="B18" t="s">
        <v>25</v>
      </c>
    </row>
    <row r="19" spans="1:2">
      <c r="A19" s="8" t="s">
        <v>41</v>
      </c>
      <c r="B19" s="7" t="s">
        <v>40</v>
      </c>
    </row>
    <row r="21" spans="1:2">
      <c r="A21" s="13" t="s">
        <v>169</v>
      </c>
    </row>
    <row r="22" spans="1:2">
      <c r="A22" s="14" t="s">
        <v>170</v>
      </c>
    </row>
    <row r="23" spans="1:2">
      <c r="A23" s="14" t="s">
        <v>171</v>
      </c>
    </row>
    <row r="24" spans="1:2">
      <c r="A24" s="14" t="s">
        <v>167</v>
      </c>
    </row>
    <row r="25" spans="1:2">
      <c r="A25" s="14" t="s">
        <v>172</v>
      </c>
    </row>
    <row r="26" spans="1:2">
      <c r="A26" s="14" t="s">
        <v>173</v>
      </c>
    </row>
    <row r="27" spans="1:2">
      <c r="A27" s="14" t="s">
        <v>168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AH16"/>
  <sheetViews>
    <sheetView workbookViewId="0">
      <selection activeCell="AG16" sqref="AG16"/>
    </sheetView>
  </sheetViews>
  <sheetFormatPr baseColWidth="10" defaultColWidth="8.83203125" defaultRowHeight="15"/>
  <cols>
    <col min="3" max="3" width="15.33203125" customWidth="1"/>
    <col min="4" max="8" width="8.83203125" customWidth="1"/>
    <col min="9" max="9" width="9.1640625" customWidth="1"/>
    <col min="10" max="33" width="8.83203125" customWidth="1"/>
  </cols>
  <sheetData>
    <row r="1" spans="1:34" ht="27">
      <c r="A1" s="57" t="s">
        <v>17</v>
      </c>
      <c r="B1" s="57"/>
      <c r="C1" s="43" t="s">
        <v>240</v>
      </c>
      <c r="D1" s="53">
        <v>45474</v>
      </c>
      <c r="E1" s="53">
        <v>45475</v>
      </c>
      <c r="F1" s="53">
        <v>45476</v>
      </c>
      <c r="G1" s="53">
        <v>45477</v>
      </c>
      <c r="H1" s="53">
        <v>45478</v>
      </c>
      <c r="I1" s="53">
        <v>45479</v>
      </c>
      <c r="J1" s="53">
        <v>45480</v>
      </c>
      <c r="K1" s="53">
        <v>45481</v>
      </c>
      <c r="L1" s="53">
        <v>45482</v>
      </c>
      <c r="M1" s="53">
        <v>45483</v>
      </c>
      <c r="N1" s="53">
        <v>45484</v>
      </c>
      <c r="O1" s="53">
        <v>45485</v>
      </c>
      <c r="P1" s="53">
        <v>45486</v>
      </c>
      <c r="Q1" s="53">
        <v>45487</v>
      </c>
      <c r="R1" s="53">
        <v>45488</v>
      </c>
      <c r="S1" s="53">
        <v>45489</v>
      </c>
      <c r="T1" s="53">
        <v>45490</v>
      </c>
      <c r="U1" s="53">
        <v>45491</v>
      </c>
      <c r="V1" s="53">
        <v>45492</v>
      </c>
      <c r="W1" s="53">
        <v>45493</v>
      </c>
      <c r="X1" s="53">
        <v>45494</v>
      </c>
      <c r="Y1" s="53">
        <v>45495</v>
      </c>
      <c r="Z1" s="53">
        <v>45496</v>
      </c>
      <c r="AA1" s="53">
        <v>45497</v>
      </c>
      <c r="AB1" s="53">
        <v>45498</v>
      </c>
      <c r="AC1" s="53">
        <v>45499</v>
      </c>
      <c r="AD1" s="53">
        <v>45500</v>
      </c>
      <c r="AE1" s="53">
        <v>45501</v>
      </c>
      <c r="AF1" s="53">
        <v>45502</v>
      </c>
      <c r="AG1" s="53">
        <v>45503</v>
      </c>
      <c r="AH1" s="53">
        <v>45504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6" si="0">SUM(D4:AH4)</f>
        <v>16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16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21</v>
      </c>
      <c r="D5" s="1">
        <v>5</v>
      </c>
      <c r="E5" s="1">
        <v>0</v>
      </c>
      <c r="F5" s="1">
        <v>0</v>
      </c>
      <c r="G5" s="1">
        <v>8</v>
      </c>
      <c r="H5" s="1">
        <v>0</v>
      </c>
      <c r="I5" s="2"/>
      <c r="J5" s="2"/>
      <c r="K5" s="1">
        <v>8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2"/>
      <c r="AE5" s="2"/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16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/>
      <c r="J6" s="2"/>
      <c r="K6" s="1">
        <v>0</v>
      </c>
      <c r="L6" s="1">
        <v>0</v>
      </c>
      <c r="M6" s="1">
        <v>0</v>
      </c>
      <c r="N6" s="1">
        <v>0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0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16</v>
      </c>
      <c r="AD6" s="2"/>
      <c r="AE6" s="2"/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/>
      <c r="J7" s="2"/>
      <c r="K7" s="1">
        <v>0</v>
      </c>
      <c r="L7" s="1">
        <v>0</v>
      </c>
      <c r="M7" s="1">
        <v>0</v>
      </c>
      <c r="N7" s="1">
        <v>0</v>
      </c>
      <c r="O7" s="1">
        <v>0</v>
      </c>
      <c r="P7" s="2"/>
      <c r="Q7" s="2"/>
      <c r="R7" s="1">
        <v>0</v>
      </c>
      <c r="S7" s="1">
        <v>0</v>
      </c>
      <c r="T7" s="1">
        <v>0</v>
      </c>
      <c r="U7" s="1">
        <v>0</v>
      </c>
      <c r="V7" s="1">
        <v>0</v>
      </c>
      <c r="W7" s="2"/>
      <c r="X7" s="2"/>
      <c r="Y7" s="1">
        <v>0</v>
      </c>
      <c r="Z7" s="1">
        <v>0</v>
      </c>
      <c r="AA7" s="1">
        <v>0</v>
      </c>
      <c r="AB7" s="1">
        <v>0</v>
      </c>
      <c r="AC7" s="1">
        <v>8</v>
      </c>
      <c r="AD7" s="2"/>
      <c r="AE7" s="2"/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20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/>
      <c r="J8" s="2"/>
      <c r="K8" s="1">
        <v>0</v>
      </c>
      <c r="L8" s="1">
        <v>0</v>
      </c>
      <c r="M8" s="1">
        <v>0</v>
      </c>
      <c r="N8" s="1">
        <v>0</v>
      </c>
      <c r="O8" s="1">
        <v>0</v>
      </c>
      <c r="P8" s="2"/>
      <c r="Q8" s="2"/>
      <c r="R8" s="1">
        <v>0</v>
      </c>
      <c r="S8" s="1">
        <v>0</v>
      </c>
      <c r="T8" s="1">
        <v>4</v>
      </c>
      <c r="U8" s="1">
        <v>0</v>
      </c>
      <c r="V8" s="1">
        <v>0</v>
      </c>
      <c r="W8" s="2"/>
      <c r="X8" s="2"/>
      <c r="Y8" s="1">
        <v>0</v>
      </c>
      <c r="Z8" s="1">
        <v>0</v>
      </c>
      <c r="AA8" s="1">
        <v>0</v>
      </c>
      <c r="AB8" s="1">
        <v>0</v>
      </c>
      <c r="AC8" s="1">
        <v>16</v>
      </c>
      <c r="AD8" s="2"/>
      <c r="AE8" s="2"/>
      <c r="AF8" s="1">
        <v>0</v>
      </c>
      <c r="AG8" s="1">
        <v>0</v>
      </c>
      <c r="AH8" s="1">
        <v>0</v>
      </c>
    </row>
    <row r="9" spans="1:34">
      <c r="A9" s="1">
        <v>7</v>
      </c>
      <c r="B9" s="1" t="s">
        <v>9</v>
      </c>
      <c r="C9" s="1">
        <f t="shared" si="0"/>
        <v>26</v>
      </c>
      <c r="D9" s="1">
        <v>0</v>
      </c>
      <c r="E9" s="1">
        <v>0</v>
      </c>
      <c r="F9" s="1">
        <v>0</v>
      </c>
      <c r="G9" s="1">
        <v>0</v>
      </c>
      <c r="H9" s="1">
        <v>8</v>
      </c>
      <c r="I9" s="2"/>
      <c r="J9" s="2"/>
      <c r="K9" s="1">
        <v>0</v>
      </c>
      <c r="L9" s="1">
        <v>1</v>
      </c>
      <c r="M9" s="1">
        <v>0</v>
      </c>
      <c r="N9" s="1">
        <v>0</v>
      </c>
      <c r="O9" s="1">
        <v>1</v>
      </c>
      <c r="P9" s="2"/>
      <c r="Q9" s="2"/>
      <c r="R9" s="1">
        <v>0</v>
      </c>
      <c r="S9" s="1">
        <v>0</v>
      </c>
      <c r="T9" s="1">
        <v>0</v>
      </c>
      <c r="U9" s="1">
        <v>0</v>
      </c>
      <c r="V9" s="1">
        <v>0</v>
      </c>
      <c r="W9" s="2"/>
      <c r="X9" s="2"/>
      <c r="Y9" s="1">
        <v>0</v>
      </c>
      <c r="Z9" s="1">
        <v>0</v>
      </c>
      <c r="AA9" s="1">
        <v>0</v>
      </c>
      <c r="AB9" s="1">
        <v>0</v>
      </c>
      <c r="AC9" s="1">
        <v>16</v>
      </c>
      <c r="AD9" s="2"/>
      <c r="AE9" s="2"/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24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/>
      <c r="J11" s="2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/>
      <c r="X11" s="2"/>
      <c r="Y11" s="1">
        <v>0</v>
      </c>
      <c r="Z11" s="1">
        <v>0</v>
      </c>
      <c r="AA11" s="1">
        <v>0</v>
      </c>
      <c r="AB11" s="1">
        <v>0</v>
      </c>
      <c r="AC11" s="1">
        <v>8</v>
      </c>
      <c r="AD11" s="2"/>
      <c r="AE11" s="2"/>
      <c r="AF11" s="1">
        <v>0</v>
      </c>
      <c r="AG11" s="1">
        <v>16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/>
      <c r="J12" s="2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/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49</v>
      </c>
      <c r="D13" s="1">
        <v>0</v>
      </c>
      <c r="E13" s="1">
        <v>0</v>
      </c>
      <c r="F13" s="1">
        <v>0</v>
      </c>
      <c r="G13" s="1">
        <v>16</v>
      </c>
      <c r="H13" s="1">
        <v>16</v>
      </c>
      <c r="I13" s="2"/>
      <c r="J13" s="2"/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2"/>
      <c r="Q13" s="2"/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2"/>
      <c r="X13" s="2"/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2"/>
      <c r="AE13" s="2"/>
      <c r="AF13" s="1">
        <v>0</v>
      </c>
      <c r="AG13" s="1">
        <v>0</v>
      </c>
      <c r="AH13" s="1">
        <v>16</v>
      </c>
    </row>
    <row r="14" spans="1:34">
      <c r="A14" s="1">
        <v>12</v>
      </c>
      <c r="B14" s="1" t="s">
        <v>14</v>
      </c>
      <c r="C14" s="1">
        <f t="shared" si="0"/>
        <v>16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/>
      <c r="J14" s="2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/>
      <c r="Q14" s="2"/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2"/>
      <c r="X14" s="2"/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2"/>
      <c r="AE14" s="2"/>
      <c r="AF14" s="1">
        <v>0</v>
      </c>
      <c r="AG14" s="1">
        <v>16</v>
      </c>
      <c r="AH14" s="1">
        <v>0</v>
      </c>
    </row>
    <row r="15" spans="1:34" ht="16.25" hidden="1" customHeight="1">
      <c r="A15" s="1">
        <v>13</v>
      </c>
      <c r="B15" s="1" t="s">
        <v>15</v>
      </c>
      <c r="C15" s="1">
        <f t="shared" si="0"/>
        <v>16</v>
      </c>
      <c r="D15" s="1">
        <v>0</v>
      </c>
      <c r="E15" s="1">
        <v>0</v>
      </c>
      <c r="F15" s="1">
        <v>0</v>
      </c>
      <c r="G15" s="1"/>
      <c r="H15" s="1"/>
      <c r="I15" s="2"/>
      <c r="J15" s="2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/>
      <c r="Q15" s="2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2"/>
      <c r="X15" s="2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2"/>
      <c r="AE15" s="2"/>
      <c r="AF15" s="1">
        <v>0</v>
      </c>
      <c r="AG15" s="1">
        <v>16</v>
      </c>
      <c r="AH15" s="1">
        <v>0</v>
      </c>
    </row>
    <row r="16" spans="1:34">
      <c r="A16" s="1">
        <v>13</v>
      </c>
      <c r="B16" s="1" t="s">
        <v>16</v>
      </c>
      <c r="C16" s="1">
        <f t="shared" si="0"/>
        <v>48</v>
      </c>
      <c r="D16" s="1">
        <v>0</v>
      </c>
      <c r="E16" s="1">
        <v>0</v>
      </c>
      <c r="F16" s="1">
        <v>0</v>
      </c>
      <c r="G16" s="1">
        <v>1</v>
      </c>
      <c r="H16" s="1">
        <v>8</v>
      </c>
      <c r="I16" s="2"/>
      <c r="J16" s="2"/>
      <c r="K16" s="1">
        <v>0</v>
      </c>
      <c r="L16" s="1">
        <v>0</v>
      </c>
      <c r="M16" s="1">
        <v>1</v>
      </c>
      <c r="N16" s="1">
        <v>6</v>
      </c>
      <c r="O16" s="1">
        <v>0</v>
      </c>
      <c r="P16" s="2"/>
      <c r="Q16" s="2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2"/>
      <c r="X16" s="2"/>
      <c r="Y16" s="1">
        <v>0</v>
      </c>
      <c r="Z16" s="1">
        <v>0</v>
      </c>
      <c r="AA16" s="1">
        <v>0</v>
      </c>
      <c r="AB16" s="1">
        <v>0</v>
      </c>
      <c r="AC16" s="1">
        <v>16</v>
      </c>
      <c r="AD16" s="2"/>
      <c r="AE16" s="2"/>
      <c r="AF16" s="1">
        <v>0</v>
      </c>
      <c r="AG16" s="1">
        <v>16</v>
      </c>
      <c r="AH16" s="1">
        <v>0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AH16"/>
  <sheetViews>
    <sheetView workbookViewId="0">
      <selection activeCell="G22" sqref="G22"/>
    </sheetView>
  </sheetViews>
  <sheetFormatPr baseColWidth="10" defaultColWidth="8.83203125" defaultRowHeight="15"/>
  <cols>
    <col min="3" max="3" width="15.33203125" bestFit="1" customWidth="1"/>
    <col min="4" max="17" width="8.83203125" customWidth="1"/>
    <col min="18" max="18" width="7.83203125" customWidth="1"/>
    <col min="19" max="34" width="8.83203125" customWidth="1"/>
    <col min="35" max="35" width="0" hidden="1" customWidth="1"/>
  </cols>
  <sheetData>
    <row r="1" spans="1:34" ht="27">
      <c r="A1" s="59" t="s">
        <v>19</v>
      </c>
      <c r="B1" s="59"/>
      <c r="C1" s="43" t="s">
        <v>240</v>
      </c>
      <c r="D1" s="53">
        <v>45474</v>
      </c>
      <c r="E1" s="53">
        <v>45475</v>
      </c>
      <c r="F1" s="53">
        <v>45476</v>
      </c>
      <c r="G1" s="53">
        <v>45477</v>
      </c>
      <c r="H1" s="53">
        <v>45478</v>
      </c>
      <c r="I1" s="53">
        <v>45479</v>
      </c>
      <c r="J1" s="53">
        <v>45480</v>
      </c>
      <c r="K1" s="53">
        <v>45481</v>
      </c>
      <c r="L1" s="53">
        <v>45482</v>
      </c>
      <c r="M1" s="53">
        <v>45483</v>
      </c>
      <c r="N1" s="53">
        <v>45484</v>
      </c>
      <c r="O1" s="53">
        <v>45485</v>
      </c>
      <c r="P1" s="53">
        <v>45486</v>
      </c>
      <c r="Q1" s="53">
        <v>45487</v>
      </c>
      <c r="R1" s="53">
        <v>45488</v>
      </c>
      <c r="S1" s="53">
        <v>45489</v>
      </c>
      <c r="T1" s="53">
        <v>45490</v>
      </c>
      <c r="U1" s="53">
        <v>45491</v>
      </c>
      <c r="V1" s="53">
        <v>45492</v>
      </c>
      <c r="W1" s="53">
        <v>45493</v>
      </c>
      <c r="X1" s="53">
        <v>45494</v>
      </c>
      <c r="Y1" s="53">
        <v>45495</v>
      </c>
      <c r="Z1" s="53">
        <v>45496</v>
      </c>
      <c r="AA1" s="53">
        <v>45497</v>
      </c>
      <c r="AB1" s="53">
        <v>45498</v>
      </c>
      <c r="AC1" s="53">
        <v>45499</v>
      </c>
      <c r="AD1" s="53">
        <v>45500</v>
      </c>
      <c r="AE1" s="53">
        <v>45501</v>
      </c>
      <c r="AF1" s="53">
        <v>45502</v>
      </c>
      <c r="AG1" s="53">
        <v>45503</v>
      </c>
      <c r="AH1" s="53">
        <v>45504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6" si="0">SUM(D4:AH4)</f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0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/>
      <c r="J5" s="2"/>
      <c r="K5" s="1">
        <v>0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2"/>
      <c r="AE5" s="2"/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2"/>
      <c r="J6" s="2"/>
      <c r="K6" s="1">
        <v>0</v>
      </c>
      <c r="L6" s="1">
        <v>0</v>
      </c>
      <c r="M6" s="1">
        <v>0</v>
      </c>
      <c r="N6" s="1">
        <v>0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0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2"/>
      <c r="AE6" s="2"/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/>
      <c r="J7" s="2"/>
      <c r="K7" s="1">
        <v>0</v>
      </c>
      <c r="L7" s="1">
        <v>0</v>
      </c>
      <c r="M7" s="1">
        <v>1</v>
      </c>
      <c r="N7" s="1">
        <v>0</v>
      </c>
      <c r="O7" s="1">
        <v>0</v>
      </c>
      <c r="P7" s="2"/>
      <c r="Q7" s="2"/>
      <c r="R7" s="1">
        <v>0</v>
      </c>
      <c r="S7" s="1">
        <v>0</v>
      </c>
      <c r="T7" s="1">
        <v>0</v>
      </c>
      <c r="U7" s="1">
        <v>0</v>
      </c>
      <c r="V7" s="1">
        <v>0</v>
      </c>
      <c r="W7" s="2"/>
      <c r="X7" s="2"/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"/>
      <c r="AE7" s="2"/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17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2"/>
      <c r="J8" s="2"/>
      <c r="K8" s="1">
        <v>0</v>
      </c>
      <c r="L8" s="1">
        <v>0</v>
      </c>
      <c r="M8" s="1">
        <v>0</v>
      </c>
      <c r="N8" s="1">
        <v>2</v>
      </c>
      <c r="O8" s="1">
        <v>0</v>
      </c>
      <c r="P8" s="2"/>
      <c r="Q8" s="2"/>
      <c r="R8" s="1">
        <v>1</v>
      </c>
      <c r="S8" s="1">
        <v>2</v>
      </c>
      <c r="T8" s="1">
        <v>0</v>
      </c>
      <c r="U8" s="1">
        <v>2</v>
      </c>
      <c r="V8" s="1">
        <v>0</v>
      </c>
      <c r="W8" s="2"/>
      <c r="X8" s="2"/>
      <c r="Y8" s="1">
        <v>1</v>
      </c>
      <c r="Z8" s="1">
        <v>1</v>
      </c>
      <c r="AA8" s="1">
        <v>0</v>
      </c>
      <c r="AB8" s="1">
        <v>0</v>
      </c>
      <c r="AC8" s="1">
        <v>0</v>
      </c>
      <c r="AD8" s="2"/>
      <c r="AE8" s="2"/>
      <c r="AF8" s="1">
        <v>1</v>
      </c>
      <c r="AG8" s="1">
        <v>1</v>
      </c>
      <c r="AH8" s="1">
        <v>1</v>
      </c>
    </row>
    <row r="9" spans="1:34">
      <c r="A9" s="1">
        <v>7</v>
      </c>
      <c r="B9" s="1" t="s">
        <v>9</v>
      </c>
      <c r="C9" s="1">
        <f t="shared" si="0"/>
        <v>15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/>
      <c r="J9" s="2"/>
      <c r="K9" s="1">
        <v>0</v>
      </c>
      <c r="L9" s="1">
        <v>0</v>
      </c>
      <c r="M9" s="1">
        <v>4</v>
      </c>
      <c r="N9" s="1">
        <v>0</v>
      </c>
      <c r="O9" s="1">
        <v>0</v>
      </c>
      <c r="P9" s="2"/>
      <c r="Q9" s="2"/>
      <c r="R9" s="1">
        <v>0</v>
      </c>
      <c r="S9" s="1">
        <v>0</v>
      </c>
      <c r="T9" s="1">
        <v>0</v>
      </c>
      <c r="U9" s="1">
        <v>6</v>
      </c>
      <c r="V9" s="1">
        <v>0</v>
      </c>
      <c r="W9" s="2"/>
      <c r="X9" s="2"/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2"/>
      <c r="AE9" s="2"/>
      <c r="AF9" s="1">
        <v>0</v>
      </c>
      <c r="AG9" s="1">
        <v>5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/>
      <c r="J11" s="2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/>
      <c r="X11" s="2"/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2"/>
      <c r="AE11" s="2"/>
      <c r="AF11" s="1">
        <v>0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/>
      <c r="J12" s="2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/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16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/>
      <c r="J13" s="2"/>
      <c r="K13" s="1">
        <v>0</v>
      </c>
      <c r="L13" s="1">
        <v>0</v>
      </c>
      <c r="M13" s="1">
        <v>5</v>
      </c>
      <c r="N13" s="1">
        <v>6</v>
      </c>
      <c r="O13" s="1">
        <v>0</v>
      </c>
      <c r="P13" s="2"/>
      <c r="Q13" s="2"/>
      <c r="R13" s="1">
        <v>5</v>
      </c>
      <c r="S13" s="1">
        <v>0</v>
      </c>
      <c r="T13" s="1">
        <v>0</v>
      </c>
      <c r="U13" s="1">
        <v>0</v>
      </c>
      <c r="V13" s="1">
        <v>0</v>
      </c>
      <c r="W13" s="2"/>
      <c r="X13" s="2"/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2"/>
      <c r="AE13" s="2"/>
      <c r="AF13" s="1">
        <v>0</v>
      </c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32</v>
      </c>
      <c r="D14" s="1">
        <v>0</v>
      </c>
      <c r="E14" s="1">
        <v>0</v>
      </c>
      <c r="F14" s="1">
        <v>5</v>
      </c>
      <c r="G14" s="1">
        <v>5</v>
      </c>
      <c r="H14" s="1">
        <v>5</v>
      </c>
      <c r="I14" s="2"/>
      <c r="J14" s="2"/>
      <c r="K14" s="1">
        <v>5</v>
      </c>
      <c r="L14" s="1">
        <v>7</v>
      </c>
      <c r="M14" s="1">
        <v>0</v>
      </c>
      <c r="N14" s="1">
        <v>0</v>
      </c>
      <c r="O14" s="1">
        <v>0</v>
      </c>
      <c r="P14" s="2"/>
      <c r="Q14" s="2"/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2"/>
      <c r="X14" s="2"/>
      <c r="Y14" s="1">
        <v>0</v>
      </c>
      <c r="Z14" s="1">
        <v>0</v>
      </c>
      <c r="AA14" s="1">
        <v>0</v>
      </c>
      <c r="AB14" s="1">
        <v>5</v>
      </c>
      <c r="AC14" s="1">
        <v>0</v>
      </c>
      <c r="AD14" s="2"/>
      <c r="AE14" s="2"/>
      <c r="AF14" s="1">
        <v>0</v>
      </c>
      <c r="AG14" s="1">
        <v>0</v>
      </c>
      <c r="AH14" s="1">
        <v>0</v>
      </c>
    </row>
    <row r="15" spans="1:34" hidden="1">
      <c r="A15" s="1">
        <v>13</v>
      </c>
      <c r="B15" s="1" t="s">
        <v>15</v>
      </c>
      <c r="C15" s="1">
        <f t="shared" si="0"/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/>
      <c r="J15" s="2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/>
      <c r="Q15" s="2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2"/>
      <c r="X15" s="2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2"/>
      <c r="AE15" s="2"/>
      <c r="AF15" s="1">
        <v>0</v>
      </c>
      <c r="AG15" s="1">
        <v>0</v>
      </c>
      <c r="AH15" s="1">
        <v>0</v>
      </c>
    </row>
    <row r="16" spans="1:34">
      <c r="A16" s="1">
        <v>13</v>
      </c>
      <c r="B16" s="1" t="s">
        <v>16</v>
      </c>
      <c r="C16" s="1">
        <f t="shared" si="0"/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/>
      <c r="J16" s="2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/>
      <c r="Q16" s="2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2"/>
      <c r="X16" s="2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2"/>
      <c r="AE16" s="2"/>
      <c r="AF16" s="1">
        <v>0</v>
      </c>
      <c r="AG16" s="1">
        <v>0</v>
      </c>
      <c r="AH16" s="1">
        <v>0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27"/>
  <sheetViews>
    <sheetView zoomScaleNormal="100" workbookViewId="0">
      <selection activeCell="AK14" sqref="AK14"/>
    </sheetView>
  </sheetViews>
  <sheetFormatPr baseColWidth="10" defaultColWidth="8.83203125" defaultRowHeight="15"/>
  <cols>
    <col min="3" max="31" width="8.83203125" hidden="1" customWidth="1"/>
    <col min="32" max="33" width="8.83203125" customWidth="1"/>
  </cols>
  <sheetData>
    <row r="1" spans="1:33" ht="27">
      <c r="A1" s="55" t="s">
        <v>0</v>
      </c>
      <c r="B1" s="55"/>
      <c r="C1" s="53">
        <v>45505</v>
      </c>
      <c r="D1" s="53">
        <v>45506</v>
      </c>
      <c r="E1" s="53">
        <v>45507</v>
      </c>
      <c r="F1" s="53">
        <v>45508</v>
      </c>
      <c r="G1" s="53">
        <v>45509</v>
      </c>
      <c r="H1" s="53">
        <v>45510</v>
      </c>
      <c r="I1" s="53">
        <v>45511</v>
      </c>
      <c r="J1" s="53">
        <v>45512</v>
      </c>
      <c r="K1" s="53">
        <v>45513</v>
      </c>
      <c r="L1" s="53">
        <v>45514</v>
      </c>
      <c r="M1" s="53">
        <v>45515</v>
      </c>
      <c r="N1" s="53">
        <v>45516</v>
      </c>
      <c r="O1" s="53">
        <v>45517</v>
      </c>
      <c r="P1" s="53">
        <v>45518</v>
      </c>
      <c r="Q1" s="53">
        <v>45519</v>
      </c>
      <c r="R1" s="53">
        <v>45520</v>
      </c>
      <c r="S1" s="53">
        <v>45521</v>
      </c>
      <c r="T1" s="53">
        <v>45522</v>
      </c>
      <c r="U1" s="53">
        <v>45523</v>
      </c>
      <c r="V1" s="53">
        <v>45524</v>
      </c>
      <c r="W1" s="53">
        <v>45525</v>
      </c>
      <c r="X1" s="53">
        <v>45526</v>
      </c>
      <c r="Y1" s="53">
        <v>45527</v>
      </c>
      <c r="Z1" s="53">
        <v>45528</v>
      </c>
      <c r="AA1" s="53">
        <v>45529</v>
      </c>
      <c r="AB1" s="53">
        <v>45530</v>
      </c>
      <c r="AC1" s="53">
        <v>45531</v>
      </c>
      <c r="AD1" s="53">
        <v>45532</v>
      </c>
      <c r="AE1" s="53">
        <v>45533</v>
      </c>
      <c r="AF1" s="53">
        <v>45534</v>
      </c>
      <c r="AG1" s="53">
        <v>45535</v>
      </c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1" t="s">
        <v>26</v>
      </c>
      <c r="D3" s="1" t="s">
        <v>26</v>
      </c>
      <c r="E3" s="2"/>
      <c r="F3" s="2"/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2"/>
      <c r="M3" s="2"/>
      <c r="N3" s="1" t="s">
        <v>26</v>
      </c>
      <c r="O3" s="1" t="s">
        <v>77</v>
      </c>
      <c r="P3" s="1" t="s">
        <v>235</v>
      </c>
      <c r="Q3" s="1" t="s">
        <v>238</v>
      </c>
      <c r="R3" s="1" t="s">
        <v>237</v>
      </c>
      <c r="S3" s="2"/>
      <c r="T3" s="2"/>
      <c r="U3" s="1" t="s">
        <v>248</v>
      </c>
      <c r="V3" s="1" t="s">
        <v>236</v>
      </c>
      <c r="W3" s="1" t="s">
        <v>236</v>
      </c>
      <c r="X3" s="1" t="s">
        <v>236</v>
      </c>
      <c r="Y3" s="1" t="s">
        <v>236</v>
      </c>
      <c r="Z3" s="2"/>
      <c r="AA3" s="2"/>
      <c r="AB3" s="1" t="s">
        <v>77</v>
      </c>
      <c r="AC3" s="1" t="s">
        <v>255</v>
      </c>
      <c r="AD3" s="1" t="s">
        <v>255</v>
      </c>
      <c r="AE3" s="1" t="s">
        <v>47</v>
      </c>
      <c r="AF3" s="1" t="s">
        <v>27</v>
      </c>
      <c r="AG3" s="2"/>
    </row>
    <row r="4" spans="1:33">
      <c r="A4" s="1">
        <v>2</v>
      </c>
      <c r="B4" s="1" t="s">
        <v>4</v>
      </c>
      <c r="C4" s="1" t="s">
        <v>26</v>
      </c>
      <c r="D4" s="1" t="s">
        <v>26</v>
      </c>
      <c r="E4" s="2"/>
      <c r="F4" s="2"/>
      <c r="G4" s="1" t="s">
        <v>26</v>
      </c>
      <c r="H4" s="1" t="s">
        <v>26</v>
      </c>
      <c r="I4" s="1" t="s">
        <v>26</v>
      </c>
      <c r="J4" s="1" t="s">
        <v>26</v>
      </c>
      <c r="K4" s="1" t="s">
        <v>26</v>
      </c>
      <c r="L4" s="2"/>
      <c r="M4" s="2"/>
      <c r="N4" s="1" t="s">
        <v>26</v>
      </c>
      <c r="O4" s="1" t="s">
        <v>77</v>
      </c>
      <c r="P4" s="1" t="s">
        <v>77</v>
      </c>
      <c r="Q4" s="1" t="s">
        <v>77</v>
      </c>
      <c r="R4" s="1" t="s">
        <v>77</v>
      </c>
      <c r="S4" s="2"/>
      <c r="T4" s="2"/>
      <c r="U4" s="1" t="s">
        <v>77</v>
      </c>
      <c r="V4" s="1" t="s">
        <v>77</v>
      </c>
      <c r="W4" s="1" t="s">
        <v>77</v>
      </c>
      <c r="X4" s="1" t="s">
        <v>77</v>
      </c>
      <c r="Y4" s="1" t="s">
        <v>77</v>
      </c>
      <c r="Z4" s="2"/>
      <c r="AA4" s="2"/>
      <c r="AB4" s="1" t="s">
        <v>77</v>
      </c>
      <c r="AC4" s="1" t="s">
        <v>260</v>
      </c>
      <c r="AD4" s="1" t="s">
        <v>255</v>
      </c>
      <c r="AE4" s="1" t="s">
        <v>262</v>
      </c>
      <c r="AF4" s="1" t="s">
        <v>27</v>
      </c>
      <c r="AG4" s="2"/>
    </row>
    <row r="5" spans="1:33">
      <c r="A5" s="1">
        <v>3</v>
      </c>
      <c r="B5" s="1" t="s">
        <v>5</v>
      </c>
      <c r="C5" s="1" t="s">
        <v>233</v>
      </c>
      <c r="D5" s="1" t="s">
        <v>77</v>
      </c>
      <c r="E5" s="2"/>
      <c r="F5" s="2"/>
      <c r="G5" s="1" t="s">
        <v>77</v>
      </c>
      <c r="H5" s="1" t="s">
        <v>77</v>
      </c>
      <c r="I5" s="1" t="s">
        <v>77</v>
      </c>
      <c r="J5" s="1" t="s">
        <v>77</v>
      </c>
      <c r="K5" s="1" t="s">
        <v>77</v>
      </c>
      <c r="L5" s="2"/>
      <c r="M5" s="2"/>
      <c r="N5" s="1" t="s">
        <v>77</v>
      </c>
      <c r="O5" s="1" t="s">
        <v>77</v>
      </c>
      <c r="P5" s="1" t="s">
        <v>77</v>
      </c>
      <c r="Q5" s="1" t="s">
        <v>77</v>
      </c>
      <c r="R5" s="1" t="s">
        <v>77</v>
      </c>
      <c r="S5" s="2"/>
      <c r="T5" s="2"/>
      <c r="U5" s="1" t="s">
        <v>249</v>
      </c>
      <c r="V5" s="1" t="s">
        <v>77</v>
      </c>
      <c r="W5" s="1" t="s">
        <v>77</v>
      </c>
      <c r="X5" s="1" t="s">
        <v>77</v>
      </c>
      <c r="Y5" s="1" t="s">
        <v>77</v>
      </c>
      <c r="Z5" s="2"/>
      <c r="AA5" s="2"/>
      <c r="AB5" s="1" t="s">
        <v>250</v>
      </c>
      <c r="AC5" s="1" t="s">
        <v>257</v>
      </c>
      <c r="AD5" s="1" t="s">
        <v>129</v>
      </c>
      <c r="AE5" s="1" t="s">
        <v>47</v>
      </c>
      <c r="AF5" s="1" t="s">
        <v>27</v>
      </c>
      <c r="AG5" s="2"/>
    </row>
    <row r="6" spans="1:33">
      <c r="A6" s="1">
        <v>4</v>
      </c>
      <c r="B6" s="1" t="s">
        <v>6</v>
      </c>
      <c r="C6" s="1" t="s">
        <v>26</v>
      </c>
      <c r="D6" s="1" t="s">
        <v>26</v>
      </c>
      <c r="E6" s="2"/>
      <c r="F6" s="2"/>
      <c r="G6" s="1" t="s">
        <v>26</v>
      </c>
      <c r="H6" s="1" t="s">
        <v>26</v>
      </c>
      <c r="I6" s="1" t="s">
        <v>26</v>
      </c>
      <c r="J6" s="1" t="s">
        <v>26</v>
      </c>
      <c r="K6" s="1" t="s">
        <v>26</v>
      </c>
      <c r="L6" s="2"/>
      <c r="M6" s="2"/>
      <c r="N6" s="1" t="s">
        <v>26</v>
      </c>
      <c r="O6" s="1" t="s">
        <v>26</v>
      </c>
      <c r="P6" s="1" t="s">
        <v>26</v>
      </c>
      <c r="Q6" s="1" t="s">
        <v>26</v>
      </c>
      <c r="R6" s="1" t="s">
        <v>26</v>
      </c>
      <c r="S6" s="2"/>
      <c r="T6" s="2"/>
      <c r="U6" s="1" t="s">
        <v>26</v>
      </c>
      <c r="V6" s="1" t="s">
        <v>26</v>
      </c>
      <c r="W6" s="1" t="s">
        <v>26</v>
      </c>
      <c r="X6" s="1" t="s">
        <v>26</v>
      </c>
      <c r="Y6" s="1" t="s">
        <v>26</v>
      </c>
      <c r="Z6" s="2"/>
      <c r="AA6" s="2"/>
      <c r="AB6" s="1" t="s">
        <v>26</v>
      </c>
      <c r="AC6" s="1" t="s">
        <v>26</v>
      </c>
      <c r="AD6" s="1" t="s">
        <v>26</v>
      </c>
      <c r="AE6" s="1" t="s">
        <v>26</v>
      </c>
      <c r="AF6" s="1" t="s">
        <v>26</v>
      </c>
      <c r="AG6" s="2"/>
    </row>
    <row r="7" spans="1:33">
      <c r="A7" s="1">
        <v>5</v>
      </c>
      <c r="B7" s="1" t="s">
        <v>7</v>
      </c>
      <c r="C7" s="1" t="s">
        <v>26</v>
      </c>
      <c r="D7" s="1" t="s">
        <v>26</v>
      </c>
      <c r="E7" s="2"/>
      <c r="F7" s="2"/>
      <c r="G7" s="1" t="s">
        <v>26</v>
      </c>
      <c r="H7" s="1" t="s">
        <v>26</v>
      </c>
      <c r="I7" s="1" t="s">
        <v>26</v>
      </c>
      <c r="J7" s="1" t="s">
        <v>26</v>
      </c>
      <c r="K7" s="1" t="s">
        <v>26</v>
      </c>
      <c r="L7" s="2"/>
      <c r="M7" s="2"/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2"/>
      <c r="T7" s="2"/>
      <c r="U7" s="1" t="s">
        <v>26</v>
      </c>
      <c r="V7" s="1" t="s">
        <v>26</v>
      </c>
      <c r="W7" s="1" t="s">
        <v>26</v>
      </c>
      <c r="X7" s="1" t="s">
        <v>26</v>
      </c>
      <c r="Y7" s="1" t="s">
        <v>26</v>
      </c>
      <c r="Z7" s="2"/>
      <c r="AA7" s="2"/>
      <c r="AB7" s="1" t="s">
        <v>252</v>
      </c>
      <c r="AC7" s="1" t="s">
        <v>182</v>
      </c>
      <c r="AD7" s="1" t="s">
        <v>122</v>
      </c>
      <c r="AE7" s="1" t="s">
        <v>47</v>
      </c>
      <c r="AF7" s="1" t="s">
        <v>27</v>
      </c>
      <c r="AG7" s="2"/>
    </row>
    <row r="8" spans="1:33">
      <c r="A8" s="1">
        <v>6</v>
      </c>
      <c r="B8" s="1" t="s">
        <v>8</v>
      </c>
      <c r="C8" s="1" t="s">
        <v>77</v>
      </c>
      <c r="D8" s="1" t="s">
        <v>77</v>
      </c>
      <c r="E8" s="2"/>
      <c r="F8" s="2"/>
      <c r="G8" s="1" t="s">
        <v>77</v>
      </c>
      <c r="H8" s="1" t="s">
        <v>77</v>
      </c>
      <c r="I8" s="1" t="s">
        <v>77</v>
      </c>
      <c r="J8" s="1" t="s">
        <v>77</v>
      </c>
      <c r="K8" s="1" t="s">
        <v>246</v>
      </c>
      <c r="L8" s="2"/>
      <c r="M8" s="2"/>
      <c r="N8" s="1" t="s">
        <v>27</v>
      </c>
      <c r="O8" s="1" t="s">
        <v>27</v>
      </c>
      <c r="P8" s="1" t="s">
        <v>27</v>
      </c>
      <c r="Q8" s="1" t="s">
        <v>27</v>
      </c>
      <c r="R8" s="1" t="s">
        <v>27</v>
      </c>
      <c r="S8" s="2"/>
      <c r="T8" s="2"/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  <c r="Z8" s="2"/>
      <c r="AA8" s="2"/>
      <c r="AB8" s="1" t="s">
        <v>251</v>
      </c>
      <c r="AC8" s="1" t="s">
        <v>256</v>
      </c>
      <c r="AD8" s="1" t="s">
        <v>122</v>
      </c>
      <c r="AE8" s="1" t="s">
        <v>47</v>
      </c>
      <c r="AF8" s="1" t="s">
        <v>27</v>
      </c>
      <c r="AG8" s="2"/>
    </row>
    <row r="9" spans="1:33">
      <c r="A9" s="1">
        <v>7</v>
      </c>
      <c r="B9" s="1" t="s">
        <v>9</v>
      </c>
      <c r="C9" s="1" t="s">
        <v>77</v>
      </c>
      <c r="D9" s="1" t="s">
        <v>77</v>
      </c>
      <c r="E9" s="2"/>
      <c r="F9" s="2"/>
      <c r="G9" s="1" t="s">
        <v>77</v>
      </c>
      <c r="H9" s="1" t="s">
        <v>77</v>
      </c>
      <c r="I9" s="1" t="s">
        <v>77</v>
      </c>
      <c r="J9" s="1" t="s">
        <v>244</v>
      </c>
      <c r="K9" s="1" t="s">
        <v>243</v>
      </c>
      <c r="L9" s="2"/>
      <c r="M9" s="2"/>
      <c r="N9" s="1" t="s">
        <v>242</v>
      </c>
      <c r="O9" s="1" t="s">
        <v>27</v>
      </c>
      <c r="P9" s="1" t="s">
        <v>27</v>
      </c>
      <c r="Q9" s="1" t="s">
        <v>27</v>
      </c>
      <c r="R9" s="1" t="s">
        <v>27</v>
      </c>
      <c r="S9" s="2"/>
      <c r="T9" s="2"/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  <c r="Z9" s="2"/>
      <c r="AA9" s="2"/>
      <c r="AB9" s="1" t="s">
        <v>250</v>
      </c>
      <c r="AC9" s="1" t="s">
        <v>256</v>
      </c>
      <c r="AD9" s="1" t="s">
        <v>122</v>
      </c>
      <c r="AE9" s="1" t="s">
        <v>47</v>
      </c>
      <c r="AF9" s="1" t="s">
        <v>27</v>
      </c>
      <c r="AG9" s="2"/>
    </row>
    <row r="10" spans="1:33">
      <c r="A10" s="1">
        <v>8</v>
      </c>
      <c r="B10" s="1" t="s">
        <v>10</v>
      </c>
      <c r="C10" s="1" t="s">
        <v>77</v>
      </c>
      <c r="D10" s="1" t="s">
        <v>77</v>
      </c>
      <c r="E10" s="2"/>
      <c r="F10" s="2"/>
      <c r="G10" s="1" t="s">
        <v>231</v>
      </c>
      <c r="H10" s="1" t="s">
        <v>231</v>
      </c>
      <c r="I10" s="1" t="s">
        <v>241</v>
      </c>
      <c r="J10" s="1" t="s">
        <v>77</v>
      </c>
      <c r="K10" s="1" t="s">
        <v>150</v>
      </c>
      <c r="L10" s="2"/>
      <c r="M10" s="2"/>
      <c r="N10" s="1" t="s">
        <v>27</v>
      </c>
      <c r="O10" s="1" t="s">
        <v>27</v>
      </c>
      <c r="P10" s="1" t="s">
        <v>27</v>
      </c>
      <c r="Q10" s="1" t="s">
        <v>27</v>
      </c>
      <c r="R10" s="1" t="s">
        <v>27</v>
      </c>
      <c r="S10" s="2"/>
      <c r="T10" s="2"/>
      <c r="U10" s="1" t="s">
        <v>27</v>
      </c>
      <c r="V10" s="1" t="s">
        <v>27</v>
      </c>
      <c r="W10" s="1" t="s">
        <v>236</v>
      </c>
      <c r="X10" s="1" t="s">
        <v>236</v>
      </c>
      <c r="Y10" s="1" t="s">
        <v>27</v>
      </c>
      <c r="Z10" s="2"/>
      <c r="AA10" s="2"/>
      <c r="AB10" s="1" t="s">
        <v>253</v>
      </c>
      <c r="AC10" s="1" t="s">
        <v>259</v>
      </c>
      <c r="AD10" s="1" t="s">
        <v>122</v>
      </c>
      <c r="AE10" s="1" t="s">
        <v>47</v>
      </c>
      <c r="AF10" s="1" t="s">
        <v>27</v>
      </c>
      <c r="AG10" s="2"/>
    </row>
    <row r="11" spans="1:33">
      <c r="A11" s="1">
        <v>9</v>
      </c>
      <c r="B11" s="1" t="s">
        <v>11</v>
      </c>
      <c r="C11" s="1" t="s">
        <v>26</v>
      </c>
      <c r="D11" s="1" t="s">
        <v>26</v>
      </c>
      <c r="E11" s="2"/>
      <c r="F11" s="2"/>
      <c r="G11" s="1" t="s">
        <v>26</v>
      </c>
      <c r="H11" s="1" t="s">
        <v>26</v>
      </c>
      <c r="I11" s="1" t="s">
        <v>26</v>
      </c>
      <c r="J11" s="1" t="s">
        <v>26</v>
      </c>
      <c r="K11" s="1" t="s">
        <v>26</v>
      </c>
      <c r="L11" s="2"/>
      <c r="M11" s="2"/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2"/>
      <c r="T11" s="2"/>
      <c r="U11" s="1" t="s">
        <v>26</v>
      </c>
      <c r="V11" s="1" t="s">
        <v>26</v>
      </c>
      <c r="W11" s="1" t="s">
        <v>26</v>
      </c>
      <c r="X11" s="1" t="s">
        <v>26</v>
      </c>
      <c r="Y11" s="1" t="s">
        <v>26</v>
      </c>
      <c r="Z11" s="2"/>
      <c r="AA11" s="2"/>
      <c r="AB11" s="1" t="s">
        <v>26</v>
      </c>
      <c r="AC11" s="1" t="s">
        <v>26</v>
      </c>
      <c r="AD11" s="1" t="s">
        <v>26</v>
      </c>
      <c r="AE11" s="1" t="s">
        <v>26</v>
      </c>
      <c r="AF11" s="1" t="s">
        <v>26</v>
      </c>
      <c r="AG11" s="2"/>
    </row>
    <row r="12" spans="1:33">
      <c r="A12" s="1">
        <v>10</v>
      </c>
      <c r="B12" s="1" t="s">
        <v>12</v>
      </c>
      <c r="C12" s="1" t="s">
        <v>232</v>
      </c>
      <c r="D12" s="1" t="s">
        <v>26</v>
      </c>
      <c r="E12" s="2"/>
      <c r="F12" s="2"/>
      <c r="G12" s="1" t="s">
        <v>26</v>
      </c>
      <c r="H12" s="1" t="s">
        <v>26</v>
      </c>
      <c r="I12" s="1" t="s">
        <v>26</v>
      </c>
      <c r="J12" s="1" t="s">
        <v>26</v>
      </c>
      <c r="K12" s="1" t="s">
        <v>26</v>
      </c>
      <c r="L12" s="2"/>
      <c r="M12" s="2"/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2"/>
      <c r="T12" s="2"/>
      <c r="U12" s="1" t="s">
        <v>26</v>
      </c>
      <c r="V12" s="1" t="s">
        <v>26</v>
      </c>
      <c r="W12" s="1" t="s">
        <v>26</v>
      </c>
      <c r="X12" s="1" t="s">
        <v>26</v>
      </c>
      <c r="Y12" s="1" t="s">
        <v>26</v>
      </c>
      <c r="Z12" s="2"/>
      <c r="AA12" s="2"/>
      <c r="AB12" s="1" t="s">
        <v>26</v>
      </c>
      <c r="AC12" s="1" t="s">
        <v>26</v>
      </c>
      <c r="AD12" s="1" t="s">
        <v>26</v>
      </c>
      <c r="AE12" s="1" t="s">
        <v>26</v>
      </c>
      <c r="AF12" s="1" t="s">
        <v>26</v>
      </c>
      <c r="AG12" s="2"/>
    </row>
    <row r="13" spans="1:33">
      <c r="A13" s="1">
        <v>11</v>
      </c>
      <c r="B13" s="1" t="s">
        <v>13</v>
      </c>
      <c r="C13" s="1" t="s">
        <v>150</v>
      </c>
      <c r="D13" s="1" t="s">
        <v>26</v>
      </c>
      <c r="E13" s="2"/>
      <c r="F13" s="2"/>
      <c r="G13" s="1" t="s">
        <v>77</v>
      </c>
      <c r="H13" s="1" t="s">
        <v>77</v>
      </c>
      <c r="I13" s="1" t="s">
        <v>77</v>
      </c>
      <c r="J13" s="1" t="s">
        <v>245</v>
      </c>
      <c r="K13" s="1" t="s">
        <v>247</v>
      </c>
      <c r="L13" s="2"/>
      <c r="M13" s="2"/>
      <c r="N13" s="1" t="s">
        <v>27</v>
      </c>
      <c r="O13" s="1" t="s">
        <v>27</v>
      </c>
      <c r="P13" s="1" t="s">
        <v>27</v>
      </c>
      <c r="Q13" s="1" t="s">
        <v>27</v>
      </c>
      <c r="R13" s="1" t="s">
        <v>27</v>
      </c>
      <c r="S13" s="2"/>
      <c r="T13" s="2"/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  <c r="Z13" s="2"/>
      <c r="AA13" s="2"/>
      <c r="AB13" s="1" t="s">
        <v>182</v>
      </c>
      <c r="AC13" s="1" t="s">
        <v>258</v>
      </c>
      <c r="AD13" s="1" t="s">
        <v>225</v>
      </c>
      <c r="AE13" s="1" t="s">
        <v>47</v>
      </c>
      <c r="AF13" s="1" t="s">
        <v>27</v>
      </c>
      <c r="AG13" s="2"/>
    </row>
    <row r="14" spans="1:33">
      <c r="A14" s="1">
        <v>12</v>
      </c>
      <c r="B14" s="1" t="s">
        <v>14</v>
      </c>
      <c r="C14" s="1" t="s">
        <v>230</v>
      </c>
      <c r="D14" s="1" t="s">
        <v>26</v>
      </c>
      <c r="E14" s="2"/>
      <c r="F14" s="2"/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2"/>
      <c r="M14" s="2"/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2"/>
      <c r="T14" s="2"/>
      <c r="U14" s="1" t="s">
        <v>26</v>
      </c>
      <c r="V14" s="1" t="s">
        <v>26</v>
      </c>
      <c r="W14" s="1" t="s">
        <v>26</v>
      </c>
      <c r="X14" s="1" t="s">
        <v>26</v>
      </c>
      <c r="Y14" s="1" t="s">
        <v>26</v>
      </c>
      <c r="Z14" s="2"/>
      <c r="AA14" s="2"/>
      <c r="AB14" s="1" t="s">
        <v>26</v>
      </c>
      <c r="AC14" s="1" t="s">
        <v>258</v>
      </c>
      <c r="AD14" s="1" t="s">
        <v>225</v>
      </c>
      <c r="AE14" s="1" t="s">
        <v>47</v>
      </c>
      <c r="AF14" s="1" t="s">
        <v>27</v>
      </c>
      <c r="AG14" s="2"/>
    </row>
    <row r="15" spans="1:33" hidden="1">
      <c r="A15" s="1">
        <v>13</v>
      </c>
      <c r="B15" s="1" t="s">
        <v>15</v>
      </c>
      <c r="C15" s="1"/>
      <c r="D15" s="1" t="s">
        <v>26</v>
      </c>
      <c r="E15" s="2"/>
      <c r="F15" s="2"/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2"/>
      <c r="M15" s="2"/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/>
      <c r="T15" s="1"/>
      <c r="U15" s="1" t="s">
        <v>26</v>
      </c>
      <c r="V15" s="1" t="s">
        <v>26</v>
      </c>
      <c r="W15" s="1" t="s">
        <v>26</v>
      </c>
      <c r="X15" s="1" t="s">
        <v>26</v>
      </c>
      <c r="Y15" s="1" t="s">
        <v>26</v>
      </c>
      <c r="Z15" s="2"/>
      <c r="AA15" s="2"/>
      <c r="AB15" s="1" t="s">
        <v>26</v>
      </c>
      <c r="AC15" s="1" t="s">
        <v>26</v>
      </c>
      <c r="AD15" s="1" t="s">
        <v>26</v>
      </c>
      <c r="AE15" s="1" t="s">
        <v>26</v>
      </c>
      <c r="AF15" s="1" t="s">
        <v>26</v>
      </c>
      <c r="AG15" s="2"/>
    </row>
    <row r="16" spans="1:33">
      <c r="A16" s="1">
        <v>13</v>
      </c>
      <c r="B16" s="1" t="s">
        <v>16</v>
      </c>
      <c r="C16" s="1" t="s">
        <v>26</v>
      </c>
      <c r="D16" s="1" t="s">
        <v>26</v>
      </c>
      <c r="E16" s="2"/>
      <c r="F16" s="2"/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2"/>
      <c r="M16" s="2"/>
      <c r="N16" s="1" t="s">
        <v>26</v>
      </c>
      <c r="O16" s="1" t="s">
        <v>26</v>
      </c>
      <c r="P16" s="1" t="s">
        <v>26</v>
      </c>
      <c r="Q16" s="1" t="s">
        <v>26</v>
      </c>
      <c r="R16" s="1" t="s">
        <v>26</v>
      </c>
      <c r="S16" s="2"/>
      <c r="T16" s="2"/>
      <c r="U16" s="1" t="s">
        <v>26</v>
      </c>
      <c r="V16" s="1" t="s">
        <v>26</v>
      </c>
      <c r="W16" s="1" t="s">
        <v>26</v>
      </c>
      <c r="X16" s="1" t="s">
        <v>26</v>
      </c>
      <c r="Y16" s="1" t="s">
        <v>26</v>
      </c>
      <c r="Z16" s="2"/>
      <c r="AA16" s="2"/>
      <c r="AB16" s="1" t="s">
        <v>26</v>
      </c>
      <c r="AC16" s="1" t="s">
        <v>26</v>
      </c>
      <c r="AD16" s="1" t="s">
        <v>26</v>
      </c>
      <c r="AE16" s="1" t="s">
        <v>26</v>
      </c>
      <c r="AF16" s="1" t="s">
        <v>26</v>
      </c>
      <c r="AG16" s="2"/>
    </row>
    <row r="17" spans="1:2">
      <c r="A17" s="5" t="s">
        <v>234</v>
      </c>
      <c r="B17" t="s">
        <v>24</v>
      </c>
    </row>
    <row r="18" spans="1:2">
      <c r="A18" s="4" t="s">
        <v>261</v>
      </c>
      <c r="B18" t="s">
        <v>25</v>
      </c>
    </row>
    <row r="19" spans="1:2">
      <c r="A19" s="8" t="s">
        <v>254</v>
      </c>
      <c r="B19" s="7" t="s">
        <v>40</v>
      </c>
    </row>
    <row r="21" spans="1:2">
      <c r="A21" s="13" t="s">
        <v>169</v>
      </c>
    </row>
    <row r="22" spans="1:2">
      <c r="A22" s="14" t="s">
        <v>170</v>
      </c>
    </row>
    <row r="23" spans="1:2">
      <c r="A23" s="14" t="s">
        <v>171</v>
      </c>
    </row>
    <row r="24" spans="1:2">
      <c r="A24" s="14" t="s">
        <v>167</v>
      </c>
    </row>
    <row r="25" spans="1:2">
      <c r="A25" s="14" t="s">
        <v>172</v>
      </c>
    </row>
    <row r="26" spans="1:2">
      <c r="A26" s="14" t="s">
        <v>173</v>
      </c>
    </row>
    <row r="27" spans="1:2">
      <c r="A27" s="14" t="s">
        <v>168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AH16"/>
  <sheetViews>
    <sheetView workbookViewId="0">
      <selection activeCell="AH34" sqref="AH34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2" width="8.83203125" hidden="1" customWidth="1"/>
    <col min="33" max="33" width="8.83203125" customWidth="1"/>
  </cols>
  <sheetData>
    <row r="1" spans="1:34" ht="27">
      <c r="A1" s="57" t="s">
        <v>17</v>
      </c>
      <c r="B1" s="57"/>
      <c r="C1" s="43" t="s">
        <v>239</v>
      </c>
      <c r="D1" s="53">
        <v>45505</v>
      </c>
      <c r="E1" s="53">
        <v>45506</v>
      </c>
      <c r="F1" s="53">
        <v>45507</v>
      </c>
      <c r="G1" s="53">
        <v>45508</v>
      </c>
      <c r="H1" s="53">
        <v>45509</v>
      </c>
      <c r="I1" s="53">
        <v>45510</v>
      </c>
      <c r="J1" s="53">
        <v>45511</v>
      </c>
      <c r="K1" s="53">
        <v>45512</v>
      </c>
      <c r="L1" s="53">
        <v>45513</v>
      </c>
      <c r="M1" s="53">
        <v>45514</v>
      </c>
      <c r="N1" s="53">
        <v>45515</v>
      </c>
      <c r="O1" s="53">
        <v>45516</v>
      </c>
      <c r="P1" s="53">
        <v>45517</v>
      </c>
      <c r="Q1" s="53">
        <v>45518</v>
      </c>
      <c r="R1" s="53">
        <v>45519</v>
      </c>
      <c r="S1" s="53">
        <v>45520</v>
      </c>
      <c r="T1" s="53">
        <v>45521</v>
      </c>
      <c r="U1" s="53">
        <v>45522</v>
      </c>
      <c r="V1" s="53">
        <v>45523</v>
      </c>
      <c r="W1" s="53">
        <v>45524</v>
      </c>
      <c r="X1" s="53">
        <v>45525</v>
      </c>
      <c r="Y1" s="53">
        <v>45526</v>
      </c>
      <c r="Z1" s="53">
        <v>45527</v>
      </c>
      <c r="AA1" s="53">
        <v>45528</v>
      </c>
      <c r="AB1" s="53">
        <v>45529</v>
      </c>
      <c r="AC1" s="53">
        <v>45530</v>
      </c>
      <c r="AD1" s="53">
        <v>45531</v>
      </c>
      <c r="AE1" s="53">
        <v>45532</v>
      </c>
      <c r="AF1" s="53">
        <v>45533</v>
      </c>
      <c r="AG1" s="53">
        <v>45534</v>
      </c>
      <c r="AH1" s="53">
        <v>45535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2"/>
      <c r="G3" s="2"/>
      <c r="H3" s="1">
        <v>0</v>
      </c>
      <c r="I3" s="1">
        <v>0</v>
      </c>
      <c r="J3" s="1">
        <v>0</v>
      </c>
      <c r="K3" s="1">
        <v>0</v>
      </c>
      <c r="L3" s="1">
        <v>0</v>
      </c>
      <c r="M3" s="2"/>
      <c r="N3" s="2"/>
      <c r="O3" s="1">
        <v>0</v>
      </c>
      <c r="P3" s="1">
        <v>0</v>
      </c>
      <c r="Q3" s="1">
        <v>0</v>
      </c>
      <c r="R3" s="1">
        <v>0</v>
      </c>
      <c r="S3" s="1">
        <v>0</v>
      </c>
      <c r="T3" s="2"/>
      <c r="U3" s="2"/>
      <c r="V3" s="1">
        <v>0</v>
      </c>
      <c r="W3" s="1">
        <v>0</v>
      </c>
      <c r="X3" s="1">
        <v>0</v>
      </c>
      <c r="Y3" s="1">
        <v>0</v>
      </c>
      <c r="Z3" s="1">
        <v>0</v>
      </c>
      <c r="AA3" s="2"/>
      <c r="AB3" s="2"/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2"/>
    </row>
    <row r="4" spans="1:34">
      <c r="A4" s="1">
        <v>2</v>
      </c>
      <c r="B4" s="1" t="s">
        <v>4</v>
      </c>
      <c r="C4" s="1">
        <f t="shared" ref="C4:C16" si="0">SUM(D4:AH4)</f>
        <v>7</v>
      </c>
      <c r="D4" s="1">
        <v>0</v>
      </c>
      <c r="E4" s="1">
        <v>0</v>
      </c>
      <c r="F4" s="2"/>
      <c r="G4" s="2"/>
      <c r="H4" s="1">
        <v>0</v>
      </c>
      <c r="I4" s="1">
        <v>0</v>
      </c>
      <c r="J4" s="1">
        <v>0</v>
      </c>
      <c r="K4" s="1">
        <v>0</v>
      </c>
      <c r="L4" s="1">
        <v>0</v>
      </c>
      <c r="M4" s="2"/>
      <c r="N4" s="2"/>
      <c r="O4" s="1">
        <v>0</v>
      </c>
      <c r="P4" s="1">
        <v>0</v>
      </c>
      <c r="Q4" s="1">
        <v>0</v>
      </c>
      <c r="R4" s="1">
        <v>0</v>
      </c>
      <c r="S4" s="1">
        <v>0</v>
      </c>
      <c r="T4" s="2"/>
      <c r="U4" s="2"/>
      <c r="V4" s="1">
        <v>0</v>
      </c>
      <c r="W4" s="1">
        <v>0</v>
      </c>
      <c r="X4" s="1">
        <v>0</v>
      </c>
      <c r="Y4" s="1">
        <v>0</v>
      </c>
      <c r="Z4" s="1">
        <v>0</v>
      </c>
      <c r="AA4" s="2"/>
      <c r="AB4" s="2"/>
      <c r="AC4" s="1">
        <v>0</v>
      </c>
      <c r="AD4" s="1">
        <v>7</v>
      </c>
      <c r="AE4" s="1">
        <v>0</v>
      </c>
      <c r="AF4" s="1">
        <v>0</v>
      </c>
      <c r="AG4" s="1">
        <v>0</v>
      </c>
      <c r="AH4" s="2"/>
    </row>
    <row r="5" spans="1:34">
      <c r="A5" s="1">
        <v>3</v>
      </c>
      <c r="B5" s="1" t="s">
        <v>5</v>
      </c>
      <c r="C5" s="1">
        <f t="shared" si="0"/>
        <v>9</v>
      </c>
      <c r="D5" s="1">
        <v>0</v>
      </c>
      <c r="E5" s="1">
        <v>0</v>
      </c>
      <c r="F5" s="2"/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2"/>
      <c r="N5" s="2"/>
      <c r="O5" s="1">
        <v>0</v>
      </c>
      <c r="P5" s="1">
        <v>0</v>
      </c>
      <c r="Q5" s="1">
        <v>0</v>
      </c>
      <c r="R5" s="1">
        <v>0</v>
      </c>
      <c r="S5" s="1">
        <v>0</v>
      </c>
      <c r="T5" s="2"/>
      <c r="U5" s="2"/>
      <c r="V5" s="1">
        <v>2</v>
      </c>
      <c r="W5" s="1">
        <v>0</v>
      </c>
      <c r="X5" s="1">
        <v>0</v>
      </c>
      <c r="Y5" s="1">
        <v>0</v>
      </c>
      <c r="Z5" s="1">
        <v>0</v>
      </c>
      <c r="AA5" s="2"/>
      <c r="AB5" s="2"/>
      <c r="AC5" s="1">
        <v>7</v>
      </c>
      <c r="AD5" s="1">
        <v>0</v>
      </c>
      <c r="AE5" s="1">
        <v>0</v>
      </c>
      <c r="AF5" s="1">
        <v>0</v>
      </c>
      <c r="AG5" s="1">
        <v>0</v>
      </c>
      <c r="AH5" s="2"/>
    </row>
    <row r="6" spans="1:34">
      <c r="A6" s="1">
        <v>4</v>
      </c>
      <c r="B6" s="1" t="s">
        <v>6</v>
      </c>
      <c r="C6" s="1">
        <f t="shared" si="0"/>
        <v>0</v>
      </c>
      <c r="D6" s="1">
        <v>0</v>
      </c>
      <c r="E6" s="1">
        <v>0</v>
      </c>
      <c r="F6" s="2"/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2"/>
      <c r="N6" s="2"/>
      <c r="O6" s="1">
        <v>0</v>
      </c>
      <c r="P6" s="1">
        <v>0</v>
      </c>
      <c r="Q6" s="1">
        <v>0</v>
      </c>
      <c r="R6" s="1">
        <v>0</v>
      </c>
      <c r="S6" s="1">
        <v>0</v>
      </c>
      <c r="T6" s="2"/>
      <c r="U6" s="2"/>
      <c r="V6" s="1">
        <v>0</v>
      </c>
      <c r="W6" s="1">
        <v>0</v>
      </c>
      <c r="X6" s="1">
        <v>0</v>
      </c>
      <c r="Y6" s="1">
        <v>0</v>
      </c>
      <c r="Z6" s="1">
        <v>0</v>
      </c>
      <c r="AA6" s="2"/>
      <c r="AB6" s="2"/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2"/>
    </row>
    <row r="7" spans="1:34">
      <c r="A7" s="1">
        <v>5</v>
      </c>
      <c r="B7" s="1" t="s">
        <v>7</v>
      </c>
      <c r="C7" s="1">
        <f t="shared" si="0"/>
        <v>16</v>
      </c>
      <c r="D7" s="1">
        <v>0</v>
      </c>
      <c r="E7" s="1">
        <v>0</v>
      </c>
      <c r="F7" s="2"/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2"/>
      <c r="N7" s="2"/>
      <c r="O7" s="1">
        <v>0</v>
      </c>
      <c r="P7" s="1">
        <v>0</v>
      </c>
      <c r="Q7" s="1">
        <v>0</v>
      </c>
      <c r="R7" s="1">
        <v>0</v>
      </c>
      <c r="S7" s="1">
        <v>0</v>
      </c>
      <c r="T7" s="2"/>
      <c r="U7" s="2"/>
      <c r="V7" s="1">
        <v>0</v>
      </c>
      <c r="W7" s="1">
        <v>0</v>
      </c>
      <c r="X7" s="1">
        <v>0</v>
      </c>
      <c r="Y7" s="1">
        <v>0</v>
      </c>
      <c r="Z7" s="1">
        <v>0</v>
      </c>
      <c r="AA7" s="2"/>
      <c r="AB7" s="2"/>
      <c r="AC7" s="1">
        <v>0</v>
      </c>
      <c r="AD7" s="1">
        <v>16</v>
      </c>
      <c r="AE7" s="1">
        <v>0</v>
      </c>
      <c r="AF7" s="1">
        <v>0</v>
      </c>
      <c r="AG7" s="1">
        <v>0</v>
      </c>
      <c r="AH7" s="2"/>
    </row>
    <row r="8" spans="1:34">
      <c r="A8" s="1">
        <v>6</v>
      </c>
      <c r="B8" s="1" t="s">
        <v>8</v>
      </c>
      <c r="C8" s="1">
        <f t="shared" si="0"/>
        <v>24</v>
      </c>
      <c r="D8" s="1">
        <v>0</v>
      </c>
      <c r="E8" s="1">
        <v>0</v>
      </c>
      <c r="F8" s="2"/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2"/>
      <c r="N8" s="2"/>
      <c r="O8" s="1">
        <v>0</v>
      </c>
      <c r="P8" s="1">
        <v>0</v>
      </c>
      <c r="Q8" s="1">
        <v>0</v>
      </c>
      <c r="R8" s="1">
        <v>0</v>
      </c>
      <c r="S8" s="1">
        <v>0</v>
      </c>
      <c r="T8" s="2"/>
      <c r="U8" s="2"/>
      <c r="V8" s="1">
        <v>0</v>
      </c>
      <c r="W8" s="1">
        <v>0</v>
      </c>
      <c r="X8" s="1">
        <v>0</v>
      </c>
      <c r="Y8" s="1">
        <v>0</v>
      </c>
      <c r="Z8" s="1">
        <v>4</v>
      </c>
      <c r="AA8" s="2"/>
      <c r="AB8" s="2"/>
      <c r="AC8" s="1">
        <v>16</v>
      </c>
      <c r="AD8" s="1">
        <v>0</v>
      </c>
      <c r="AE8" s="1">
        <v>0</v>
      </c>
      <c r="AF8" s="1">
        <v>0</v>
      </c>
      <c r="AG8" s="1">
        <v>4</v>
      </c>
      <c r="AH8" s="2"/>
    </row>
    <row r="9" spans="1:34">
      <c r="A9" s="1">
        <v>7</v>
      </c>
      <c r="B9" s="1" t="s">
        <v>9</v>
      </c>
      <c r="C9" s="1">
        <f t="shared" si="0"/>
        <v>48</v>
      </c>
      <c r="D9" s="1">
        <v>0</v>
      </c>
      <c r="E9" s="1">
        <v>0</v>
      </c>
      <c r="F9" s="2"/>
      <c r="G9" s="2"/>
      <c r="H9" s="1">
        <v>0</v>
      </c>
      <c r="I9" s="1">
        <v>0</v>
      </c>
      <c r="J9" s="1">
        <v>0</v>
      </c>
      <c r="K9" s="1">
        <v>16</v>
      </c>
      <c r="L9" s="1">
        <v>0</v>
      </c>
      <c r="M9" s="2"/>
      <c r="N9" s="2"/>
      <c r="O9" s="1">
        <v>16</v>
      </c>
      <c r="P9" s="1">
        <v>0</v>
      </c>
      <c r="Q9" s="1">
        <v>0</v>
      </c>
      <c r="R9" s="1">
        <v>0</v>
      </c>
      <c r="S9" s="1">
        <v>0</v>
      </c>
      <c r="T9" s="2"/>
      <c r="U9" s="2"/>
      <c r="V9" s="1">
        <v>0</v>
      </c>
      <c r="W9" s="1">
        <v>0</v>
      </c>
      <c r="X9" s="1">
        <v>0</v>
      </c>
      <c r="Y9" s="1">
        <v>0</v>
      </c>
      <c r="Z9" s="1">
        <v>0</v>
      </c>
      <c r="AA9" s="2"/>
      <c r="AB9" s="2"/>
      <c r="AC9" s="1">
        <v>16</v>
      </c>
      <c r="AD9" s="1">
        <v>0</v>
      </c>
      <c r="AE9" s="1">
        <v>0</v>
      </c>
      <c r="AF9" s="1">
        <v>0</v>
      </c>
      <c r="AG9" s="1">
        <v>0</v>
      </c>
      <c r="AH9" s="2"/>
    </row>
    <row r="10" spans="1:34">
      <c r="A10" s="1">
        <v>8</v>
      </c>
      <c r="B10" s="1" t="s">
        <v>10</v>
      </c>
      <c r="C10" s="1">
        <f t="shared" si="0"/>
        <v>24</v>
      </c>
      <c r="D10" s="1">
        <v>0</v>
      </c>
      <c r="E10" s="1">
        <v>0</v>
      </c>
      <c r="F10" s="2"/>
      <c r="G10" s="2"/>
      <c r="H10" s="1">
        <v>0</v>
      </c>
      <c r="I10" s="1">
        <v>0</v>
      </c>
      <c r="J10" s="1">
        <v>16</v>
      </c>
      <c r="K10" s="1">
        <v>0</v>
      </c>
      <c r="L10" s="1">
        <v>0</v>
      </c>
      <c r="M10" s="2"/>
      <c r="N10" s="2"/>
      <c r="O10" s="1">
        <v>0</v>
      </c>
      <c r="P10" s="1">
        <v>0</v>
      </c>
      <c r="Q10" s="1">
        <v>0</v>
      </c>
      <c r="R10" s="1">
        <v>0</v>
      </c>
      <c r="S10" s="1">
        <v>8</v>
      </c>
      <c r="T10" s="2"/>
      <c r="U10" s="2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2"/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1">
        <v>0</v>
      </c>
      <c r="F11" s="2"/>
      <c r="G11" s="2"/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2"/>
      <c r="N11" s="2"/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2"/>
      <c r="U11" s="2"/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2"/>
      <c r="AB11" s="2"/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2"/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2"/>
      <c r="G12" s="2"/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2"/>
      <c r="N12" s="2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2"/>
      <c r="U12" s="2"/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2"/>
    </row>
    <row r="13" spans="1:34">
      <c r="A13" s="1">
        <v>11</v>
      </c>
      <c r="B13" s="1" t="s">
        <v>13</v>
      </c>
      <c r="C13" s="1">
        <f t="shared" si="0"/>
        <v>32</v>
      </c>
      <c r="D13" s="1">
        <v>0</v>
      </c>
      <c r="E13" s="1">
        <v>0</v>
      </c>
      <c r="F13" s="2"/>
      <c r="G13" s="2"/>
      <c r="H13" s="1">
        <v>0</v>
      </c>
      <c r="I13" s="1">
        <v>0</v>
      </c>
      <c r="J13" s="1">
        <v>0</v>
      </c>
      <c r="K13" s="1">
        <v>16</v>
      </c>
      <c r="L13" s="1">
        <v>0</v>
      </c>
      <c r="M13" s="2"/>
      <c r="N13" s="2"/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2"/>
      <c r="U13" s="2"/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2"/>
      <c r="AB13" s="2"/>
      <c r="AC13" s="1">
        <v>16</v>
      </c>
      <c r="AD13" s="1">
        <v>0</v>
      </c>
      <c r="AE13" s="1">
        <v>0</v>
      </c>
      <c r="AF13" s="1">
        <v>0</v>
      </c>
      <c r="AG13" s="1">
        <v>0</v>
      </c>
      <c r="AH13" s="2"/>
    </row>
    <row r="14" spans="1:34">
      <c r="A14" s="1">
        <v>12</v>
      </c>
      <c r="B14" s="1" t="s">
        <v>14</v>
      </c>
      <c r="C14" s="1">
        <f t="shared" si="0"/>
        <v>16</v>
      </c>
      <c r="D14" s="1">
        <v>16</v>
      </c>
      <c r="E14" s="1">
        <v>0</v>
      </c>
      <c r="F14" s="2"/>
      <c r="G14" s="2"/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2"/>
      <c r="N14" s="2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2"/>
      <c r="U14" s="2"/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2"/>
      <c r="AB14" s="2"/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2"/>
    </row>
    <row r="15" spans="1:34" ht="16.25" hidden="1" customHeight="1">
      <c r="A15" s="1">
        <v>13</v>
      </c>
      <c r="B15" s="1" t="s">
        <v>15</v>
      </c>
      <c r="C15" s="1">
        <f t="shared" si="0"/>
        <v>0</v>
      </c>
      <c r="D15" s="1">
        <v>0</v>
      </c>
      <c r="E15" s="1">
        <v>0</v>
      </c>
      <c r="F15" s="2"/>
      <c r="G15" s="2"/>
      <c r="H15" s="1">
        <v>0</v>
      </c>
      <c r="I15" s="1">
        <v>0</v>
      </c>
      <c r="J15" s="1">
        <v>0</v>
      </c>
      <c r="K15" s="1"/>
      <c r="L15" s="1">
        <v>0</v>
      </c>
      <c r="M15" s="2"/>
      <c r="N15" s="2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/>
      <c r="U15" s="1"/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2"/>
      <c r="AB15" s="2"/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2"/>
    </row>
    <row r="16" spans="1:34">
      <c r="A16" s="1">
        <v>13</v>
      </c>
      <c r="B16" s="1" t="s">
        <v>16</v>
      </c>
      <c r="C16" s="1">
        <f t="shared" si="0"/>
        <v>0</v>
      </c>
      <c r="D16" s="1">
        <v>0</v>
      </c>
      <c r="E16" s="1">
        <v>0</v>
      </c>
      <c r="F16" s="2"/>
      <c r="G16" s="2"/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2"/>
      <c r="N16" s="2"/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2"/>
      <c r="U16" s="2"/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2"/>
      <c r="AB16" s="2"/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2"/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AH16"/>
  <sheetViews>
    <sheetView workbookViewId="0">
      <selection activeCell="A8" sqref="A8:XFD8"/>
    </sheetView>
  </sheetViews>
  <sheetFormatPr baseColWidth="10" defaultColWidth="8.83203125" defaultRowHeight="15"/>
  <cols>
    <col min="3" max="3" width="15.33203125" customWidth="1"/>
    <col min="4" max="17" width="8.83203125" customWidth="1"/>
    <col min="18" max="18" width="7.83203125" customWidth="1"/>
    <col min="19" max="34" width="8.83203125" customWidth="1"/>
    <col min="35" max="35" width="0" hidden="1" customWidth="1"/>
  </cols>
  <sheetData>
    <row r="1" spans="1:34" ht="27">
      <c r="A1" s="59" t="s">
        <v>19</v>
      </c>
      <c r="B1" s="59"/>
      <c r="C1" s="43" t="s">
        <v>239</v>
      </c>
      <c r="D1" s="53">
        <v>45505</v>
      </c>
      <c r="E1" s="53">
        <v>45506</v>
      </c>
      <c r="F1" s="53">
        <v>45507</v>
      </c>
      <c r="G1" s="53">
        <v>45508</v>
      </c>
      <c r="H1" s="53">
        <v>45509</v>
      </c>
      <c r="I1" s="53">
        <v>45510</v>
      </c>
      <c r="J1" s="53">
        <v>45511</v>
      </c>
      <c r="K1" s="53">
        <v>45512</v>
      </c>
      <c r="L1" s="53">
        <v>45513</v>
      </c>
      <c r="M1" s="53">
        <v>45514</v>
      </c>
      <c r="N1" s="53">
        <v>45515</v>
      </c>
      <c r="O1" s="53">
        <v>45516</v>
      </c>
      <c r="P1" s="53">
        <v>45517</v>
      </c>
      <c r="Q1" s="53">
        <v>45518</v>
      </c>
      <c r="R1" s="53">
        <v>45519</v>
      </c>
      <c r="S1" s="53">
        <v>45520</v>
      </c>
      <c r="T1" s="53">
        <v>45521</v>
      </c>
      <c r="U1" s="53">
        <v>45522</v>
      </c>
      <c r="V1" s="53">
        <v>45523</v>
      </c>
      <c r="W1" s="53">
        <v>45524</v>
      </c>
      <c r="X1" s="53">
        <v>45525</v>
      </c>
      <c r="Y1" s="53">
        <v>45526</v>
      </c>
      <c r="Z1" s="53">
        <v>45527</v>
      </c>
      <c r="AA1" s="53">
        <v>45528</v>
      </c>
      <c r="AB1" s="53">
        <v>45529</v>
      </c>
      <c r="AC1" s="53">
        <v>45530</v>
      </c>
      <c r="AD1" s="53">
        <v>45531</v>
      </c>
      <c r="AE1" s="53">
        <v>45532</v>
      </c>
      <c r="AF1" s="53">
        <v>45533</v>
      </c>
      <c r="AG1" s="53">
        <v>45534</v>
      </c>
      <c r="AH1" s="53">
        <v>45535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2"/>
      <c r="G3" s="2"/>
      <c r="H3" s="1">
        <v>0</v>
      </c>
      <c r="I3" s="1">
        <v>0</v>
      </c>
      <c r="J3" s="1">
        <v>0</v>
      </c>
      <c r="K3" s="1">
        <v>0</v>
      </c>
      <c r="L3" s="1">
        <v>0</v>
      </c>
      <c r="M3" s="2"/>
      <c r="N3" s="2"/>
      <c r="O3" s="1">
        <v>0</v>
      </c>
      <c r="P3" s="1">
        <v>0</v>
      </c>
      <c r="Q3" s="1">
        <v>0</v>
      </c>
      <c r="R3" s="1">
        <v>0</v>
      </c>
      <c r="S3" s="1">
        <v>0</v>
      </c>
      <c r="T3" s="2"/>
      <c r="U3" s="2"/>
      <c r="V3" s="1">
        <v>0</v>
      </c>
      <c r="W3" s="1">
        <v>0</v>
      </c>
      <c r="X3" s="1">
        <v>0</v>
      </c>
      <c r="Y3" s="1">
        <v>0</v>
      </c>
      <c r="Z3" s="1">
        <v>0</v>
      </c>
      <c r="AA3" s="2"/>
      <c r="AB3" s="2"/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2"/>
    </row>
    <row r="4" spans="1:34">
      <c r="A4" s="1">
        <v>2</v>
      </c>
      <c r="B4" s="1" t="s">
        <v>4</v>
      </c>
      <c r="C4" s="1">
        <f t="shared" ref="C4:C16" si="0">SUM(D4:AH4)</f>
        <v>29</v>
      </c>
      <c r="D4" s="1">
        <v>0</v>
      </c>
      <c r="E4" s="1">
        <v>0</v>
      </c>
      <c r="F4" s="2"/>
      <c r="G4" s="2"/>
      <c r="H4" s="1">
        <v>0</v>
      </c>
      <c r="I4" s="1">
        <v>6</v>
      </c>
      <c r="J4" s="1">
        <v>6</v>
      </c>
      <c r="K4" s="1">
        <v>6</v>
      </c>
      <c r="L4" s="1">
        <v>6</v>
      </c>
      <c r="M4" s="2"/>
      <c r="N4" s="2"/>
      <c r="O4" s="1">
        <v>0</v>
      </c>
      <c r="P4" s="1">
        <v>2</v>
      </c>
      <c r="Q4" s="1">
        <v>0</v>
      </c>
      <c r="R4" s="1">
        <v>0</v>
      </c>
      <c r="S4" s="1">
        <v>0</v>
      </c>
      <c r="T4" s="2"/>
      <c r="U4" s="2"/>
      <c r="V4" s="1">
        <v>0</v>
      </c>
      <c r="W4" s="1">
        <v>1</v>
      </c>
      <c r="X4" s="1">
        <v>0</v>
      </c>
      <c r="Y4" s="1">
        <v>2</v>
      </c>
      <c r="Z4" s="1">
        <v>0</v>
      </c>
      <c r="AA4" s="2"/>
      <c r="AB4" s="2"/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2"/>
    </row>
    <row r="5" spans="1:34">
      <c r="A5" s="1">
        <v>3</v>
      </c>
      <c r="B5" s="1" t="s">
        <v>5</v>
      </c>
      <c r="C5" s="1">
        <f t="shared" si="0"/>
        <v>6</v>
      </c>
      <c r="D5" s="1">
        <v>0</v>
      </c>
      <c r="E5" s="1">
        <v>0</v>
      </c>
      <c r="F5" s="2"/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2"/>
      <c r="N5" s="2"/>
      <c r="O5" s="1">
        <v>0</v>
      </c>
      <c r="P5" s="1">
        <v>0</v>
      </c>
      <c r="Q5" s="1">
        <v>0</v>
      </c>
      <c r="R5" s="1">
        <v>0</v>
      </c>
      <c r="S5" s="1">
        <v>6</v>
      </c>
      <c r="T5" s="2"/>
      <c r="U5" s="2"/>
      <c r="V5" s="1">
        <v>0</v>
      </c>
      <c r="W5" s="1">
        <v>0</v>
      </c>
      <c r="X5" s="1">
        <v>0</v>
      </c>
      <c r="Y5" s="1">
        <v>0</v>
      </c>
      <c r="Z5" s="1">
        <v>0</v>
      </c>
      <c r="AA5" s="2"/>
      <c r="AB5" s="2"/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2"/>
    </row>
    <row r="6" spans="1:34">
      <c r="A6" s="1">
        <v>4</v>
      </c>
      <c r="B6" s="1" t="s">
        <v>6</v>
      </c>
      <c r="C6" s="1">
        <f t="shared" si="0"/>
        <v>20</v>
      </c>
      <c r="D6" s="1">
        <v>0</v>
      </c>
      <c r="E6" s="1">
        <v>0</v>
      </c>
      <c r="F6" s="2"/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2"/>
      <c r="N6" s="2"/>
      <c r="O6" s="1">
        <v>0</v>
      </c>
      <c r="P6" s="1">
        <v>0</v>
      </c>
      <c r="Q6" s="1">
        <v>0</v>
      </c>
      <c r="R6" s="1">
        <v>0</v>
      </c>
      <c r="S6" s="1">
        <v>0</v>
      </c>
      <c r="T6" s="2"/>
      <c r="U6" s="2"/>
      <c r="V6" s="1">
        <v>0</v>
      </c>
      <c r="W6" s="1">
        <v>0</v>
      </c>
      <c r="X6" s="1">
        <v>0</v>
      </c>
      <c r="Y6" s="1">
        <v>4</v>
      </c>
      <c r="Z6" s="1">
        <v>0</v>
      </c>
      <c r="AA6" s="2"/>
      <c r="AB6" s="2"/>
      <c r="AC6" s="1">
        <v>4</v>
      </c>
      <c r="AD6" s="1">
        <v>4</v>
      </c>
      <c r="AE6" s="1">
        <v>4</v>
      </c>
      <c r="AF6" s="1">
        <v>4</v>
      </c>
      <c r="AG6" s="1">
        <v>0</v>
      </c>
      <c r="AH6" s="2"/>
    </row>
    <row r="7" spans="1:34">
      <c r="A7" s="1">
        <v>5</v>
      </c>
      <c r="B7" s="1" t="s">
        <v>7</v>
      </c>
      <c r="C7" s="1">
        <f t="shared" si="0"/>
        <v>6</v>
      </c>
      <c r="D7" s="1">
        <v>0</v>
      </c>
      <c r="E7" s="1">
        <v>0</v>
      </c>
      <c r="F7" s="2"/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2"/>
      <c r="N7" s="2"/>
      <c r="O7" s="1">
        <v>0</v>
      </c>
      <c r="P7" s="1">
        <v>2</v>
      </c>
      <c r="Q7" s="1">
        <v>1</v>
      </c>
      <c r="R7" s="1">
        <v>0</v>
      </c>
      <c r="S7" s="1">
        <v>0</v>
      </c>
      <c r="T7" s="2"/>
      <c r="U7" s="2"/>
      <c r="V7" s="1">
        <v>0</v>
      </c>
      <c r="W7" s="1">
        <v>2</v>
      </c>
      <c r="X7" s="1">
        <v>0</v>
      </c>
      <c r="Y7" s="1">
        <v>1</v>
      </c>
      <c r="Z7" s="1">
        <v>0</v>
      </c>
      <c r="AA7" s="2"/>
      <c r="AB7" s="2"/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2"/>
    </row>
    <row r="8" spans="1:34">
      <c r="A8" s="1">
        <v>6</v>
      </c>
      <c r="B8" s="1" t="s">
        <v>8</v>
      </c>
      <c r="C8" s="1">
        <f t="shared" si="0"/>
        <v>15</v>
      </c>
      <c r="D8" s="1">
        <v>1</v>
      </c>
      <c r="E8" s="1">
        <v>1</v>
      </c>
      <c r="F8" s="2"/>
      <c r="G8" s="2"/>
      <c r="H8" s="1">
        <v>1</v>
      </c>
      <c r="I8" s="1">
        <v>1</v>
      </c>
      <c r="J8" s="1">
        <v>1</v>
      </c>
      <c r="K8" s="1">
        <v>0</v>
      </c>
      <c r="L8" s="1">
        <v>1</v>
      </c>
      <c r="M8" s="2"/>
      <c r="N8" s="2"/>
      <c r="O8" s="1">
        <v>1</v>
      </c>
      <c r="P8" s="1">
        <v>0</v>
      </c>
      <c r="Q8" s="1">
        <v>2</v>
      </c>
      <c r="R8" s="1">
        <v>1</v>
      </c>
      <c r="S8" s="1">
        <v>1</v>
      </c>
      <c r="T8" s="2"/>
      <c r="U8" s="2"/>
      <c r="V8" s="1">
        <v>0</v>
      </c>
      <c r="W8" s="1">
        <v>1</v>
      </c>
      <c r="X8" s="1">
        <v>1</v>
      </c>
      <c r="Y8" s="1">
        <v>1</v>
      </c>
      <c r="Z8" s="1">
        <v>0</v>
      </c>
      <c r="AA8" s="2"/>
      <c r="AB8" s="2"/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2"/>
    </row>
    <row r="9" spans="1:34">
      <c r="A9" s="1">
        <v>7</v>
      </c>
      <c r="B9" s="1" t="s">
        <v>9</v>
      </c>
      <c r="C9" s="1">
        <f t="shared" si="0"/>
        <v>28</v>
      </c>
      <c r="D9" s="1">
        <v>6</v>
      </c>
      <c r="E9" s="1">
        <v>0</v>
      </c>
      <c r="F9" s="2"/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2"/>
      <c r="N9" s="2"/>
      <c r="O9" s="1">
        <v>0</v>
      </c>
      <c r="P9" s="1">
        <v>0</v>
      </c>
      <c r="Q9" s="1">
        <v>0</v>
      </c>
      <c r="R9" s="1">
        <v>6</v>
      </c>
      <c r="S9" s="1">
        <v>0</v>
      </c>
      <c r="T9" s="2"/>
      <c r="U9" s="2"/>
      <c r="V9" s="1">
        <v>0</v>
      </c>
      <c r="W9" s="1">
        <v>0</v>
      </c>
      <c r="X9" s="1">
        <v>4</v>
      </c>
      <c r="Y9" s="1">
        <v>6</v>
      </c>
      <c r="Z9" s="1">
        <v>6</v>
      </c>
      <c r="AA9" s="2"/>
      <c r="AB9" s="2"/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2"/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2"/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2"/>
      <c r="N10" s="2"/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2"/>
      <c r="U10" s="2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2"/>
    </row>
    <row r="11" spans="1:34">
      <c r="A11" s="1">
        <v>9</v>
      </c>
      <c r="B11" s="1" t="s">
        <v>11</v>
      </c>
      <c r="C11" s="1">
        <f t="shared" si="0"/>
        <v>93</v>
      </c>
      <c r="D11" s="1">
        <v>0</v>
      </c>
      <c r="E11" s="1">
        <v>0</v>
      </c>
      <c r="F11" s="2"/>
      <c r="G11" s="2"/>
      <c r="H11" s="1">
        <v>0</v>
      </c>
      <c r="I11" s="1">
        <v>6</v>
      </c>
      <c r="J11" s="1">
        <v>2</v>
      </c>
      <c r="K11" s="1">
        <v>6</v>
      </c>
      <c r="L11" s="1">
        <v>6</v>
      </c>
      <c r="M11" s="2"/>
      <c r="N11" s="2"/>
      <c r="O11" s="1">
        <v>5</v>
      </c>
      <c r="P11" s="1">
        <v>5</v>
      </c>
      <c r="Q11" s="1">
        <v>8</v>
      </c>
      <c r="R11" s="1">
        <v>5</v>
      </c>
      <c r="S11" s="1">
        <v>7</v>
      </c>
      <c r="T11" s="2"/>
      <c r="U11" s="2"/>
      <c r="V11" s="1">
        <v>4</v>
      </c>
      <c r="W11" s="1">
        <v>4</v>
      </c>
      <c r="X11" s="1">
        <v>5</v>
      </c>
      <c r="Y11" s="1">
        <v>3</v>
      </c>
      <c r="Z11" s="1">
        <v>8</v>
      </c>
      <c r="AA11" s="2"/>
      <c r="AB11" s="2"/>
      <c r="AC11" s="1">
        <v>9</v>
      </c>
      <c r="AD11" s="1">
        <v>4</v>
      </c>
      <c r="AE11" s="1">
        <v>1</v>
      </c>
      <c r="AF11" s="1">
        <v>5</v>
      </c>
      <c r="AG11" s="1">
        <v>0</v>
      </c>
      <c r="AH11" s="2"/>
    </row>
    <row r="12" spans="1:34">
      <c r="A12" s="1">
        <v>10</v>
      </c>
      <c r="B12" s="1" t="s">
        <v>12</v>
      </c>
      <c r="C12" s="1">
        <f t="shared" si="0"/>
        <v>2</v>
      </c>
      <c r="D12" s="1">
        <v>0</v>
      </c>
      <c r="E12" s="1">
        <v>0</v>
      </c>
      <c r="F12" s="2"/>
      <c r="G12" s="2"/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2"/>
      <c r="N12" s="2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2"/>
      <c r="U12" s="2"/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1">
        <v>0</v>
      </c>
      <c r="AD12" s="1">
        <v>0</v>
      </c>
      <c r="AE12" s="1">
        <v>0</v>
      </c>
      <c r="AF12" s="1">
        <v>0</v>
      </c>
      <c r="AG12" s="1">
        <v>2</v>
      </c>
      <c r="AH12" s="2"/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1">
        <v>0</v>
      </c>
      <c r="F13" s="2"/>
      <c r="G13" s="2"/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2"/>
      <c r="N13" s="2"/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2"/>
      <c r="U13" s="2"/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2"/>
      <c r="AB13" s="2"/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2"/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1">
        <v>0</v>
      </c>
      <c r="F14" s="2"/>
      <c r="G14" s="2"/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2"/>
      <c r="N14" s="2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2"/>
      <c r="U14" s="2"/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2"/>
      <c r="AB14" s="2"/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2"/>
    </row>
    <row r="15" spans="1:34" ht="16.25" hidden="1" customHeight="1">
      <c r="A15" s="1">
        <v>13</v>
      </c>
      <c r="B15" s="1" t="s">
        <v>15</v>
      </c>
      <c r="C15" s="1">
        <f t="shared" si="0"/>
        <v>0</v>
      </c>
      <c r="D15" s="1">
        <v>0</v>
      </c>
      <c r="E15" s="1">
        <v>0</v>
      </c>
      <c r="F15" s="2"/>
      <c r="G15" s="2"/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2"/>
      <c r="N15" s="2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/>
      <c r="U15" s="1"/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2"/>
      <c r="AB15" s="2"/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2"/>
    </row>
    <row r="16" spans="1:34">
      <c r="A16" s="1">
        <v>13</v>
      </c>
      <c r="B16" s="1" t="s">
        <v>16</v>
      </c>
      <c r="C16" s="1">
        <f t="shared" si="0"/>
        <v>85</v>
      </c>
      <c r="D16" s="1">
        <v>0</v>
      </c>
      <c r="E16" s="1">
        <v>0</v>
      </c>
      <c r="F16" s="2"/>
      <c r="G16" s="2"/>
      <c r="H16" s="1">
        <v>0</v>
      </c>
      <c r="I16" s="1">
        <v>1</v>
      </c>
      <c r="J16" s="1">
        <v>2</v>
      </c>
      <c r="K16" s="1">
        <v>8</v>
      </c>
      <c r="L16" s="1">
        <v>6</v>
      </c>
      <c r="M16" s="2"/>
      <c r="N16" s="2"/>
      <c r="O16" s="1">
        <v>5</v>
      </c>
      <c r="P16" s="1">
        <v>5</v>
      </c>
      <c r="Q16" s="1">
        <v>8</v>
      </c>
      <c r="R16" s="1">
        <v>5</v>
      </c>
      <c r="S16" s="1">
        <v>6</v>
      </c>
      <c r="T16" s="2"/>
      <c r="U16" s="2"/>
      <c r="V16" s="1">
        <v>0</v>
      </c>
      <c r="W16" s="1">
        <v>4</v>
      </c>
      <c r="X16" s="1">
        <v>5</v>
      </c>
      <c r="Y16" s="1">
        <v>3</v>
      </c>
      <c r="Z16" s="1">
        <v>8</v>
      </c>
      <c r="AA16" s="2"/>
      <c r="AB16" s="2"/>
      <c r="AC16" s="1">
        <v>9</v>
      </c>
      <c r="AD16" s="1">
        <v>4</v>
      </c>
      <c r="AE16" s="1">
        <v>1</v>
      </c>
      <c r="AF16" s="1">
        <v>5</v>
      </c>
      <c r="AG16" s="1">
        <v>0</v>
      </c>
      <c r="AH16" s="2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28"/>
  <sheetViews>
    <sheetView tabSelected="1" zoomScaleNormal="100" workbookViewId="0">
      <selection activeCell="J11" sqref="J11"/>
    </sheetView>
  </sheetViews>
  <sheetFormatPr baseColWidth="10" defaultColWidth="8.83203125" defaultRowHeight="15"/>
  <cols>
    <col min="3" max="32" width="8.83203125" customWidth="1"/>
    <col min="33" max="33" width="12.1640625" customWidth="1"/>
  </cols>
  <sheetData>
    <row r="1" spans="1:33" ht="27">
      <c r="A1" s="55" t="s">
        <v>0</v>
      </c>
      <c r="B1" s="55"/>
      <c r="C1" s="53">
        <v>45536</v>
      </c>
      <c r="D1" s="53">
        <v>45537</v>
      </c>
      <c r="E1" s="53">
        <v>45538</v>
      </c>
      <c r="F1" s="53">
        <v>45539</v>
      </c>
      <c r="G1" s="53">
        <v>45540</v>
      </c>
      <c r="H1" s="53">
        <v>45541</v>
      </c>
      <c r="I1" s="53">
        <v>45542</v>
      </c>
      <c r="J1" s="53">
        <v>45543</v>
      </c>
      <c r="K1" s="53">
        <v>45544</v>
      </c>
      <c r="L1" s="53">
        <v>45545</v>
      </c>
      <c r="M1" s="53">
        <v>45546</v>
      </c>
      <c r="N1" s="53">
        <v>45547</v>
      </c>
      <c r="O1" s="53">
        <v>45548</v>
      </c>
      <c r="P1" s="53">
        <v>45549</v>
      </c>
      <c r="Q1" s="53">
        <v>45550</v>
      </c>
      <c r="R1" s="53">
        <v>45551</v>
      </c>
      <c r="S1" s="53">
        <v>45552</v>
      </c>
      <c r="T1" s="53">
        <v>45553</v>
      </c>
      <c r="U1" s="53">
        <v>45554</v>
      </c>
      <c r="V1" s="53">
        <v>45555</v>
      </c>
      <c r="W1" s="53">
        <v>45556</v>
      </c>
      <c r="X1" s="53">
        <v>45557</v>
      </c>
      <c r="Y1" s="53">
        <v>45558</v>
      </c>
      <c r="Z1" s="53">
        <v>45559</v>
      </c>
      <c r="AA1" s="53">
        <v>45560</v>
      </c>
      <c r="AB1" s="53">
        <v>45561</v>
      </c>
      <c r="AC1" s="53">
        <v>45562</v>
      </c>
      <c r="AD1" s="53">
        <v>45563</v>
      </c>
      <c r="AE1" s="53">
        <v>45564</v>
      </c>
      <c r="AF1" s="53">
        <v>45565</v>
      </c>
      <c r="AG1" s="53"/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2"/>
      <c r="D3" s="1" t="s">
        <v>263</v>
      </c>
      <c r="E3" s="1" t="s">
        <v>27</v>
      </c>
      <c r="F3" s="1" t="s">
        <v>27</v>
      </c>
      <c r="G3" s="1" t="s">
        <v>27</v>
      </c>
      <c r="H3" s="1" t="s">
        <v>27</v>
      </c>
      <c r="I3" s="2"/>
      <c r="J3" s="2"/>
      <c r="K3" s="1" t="s">
        <v>77</v>
      </c>
      <c r="L3" s="1" t="s">
        <v>77</v>
      </c>
      <c r="M3" s="1" t="s">
        <v>77</v>
      </c>
      <c r="N3" s="1" t="s">
        <v>77</v>
      </c>
      <c r="O3" s="1" t="s">
        <v>77</v>
      </c>
      <c r="P3" s="2"/>
      <c r="Q3" s="2"/>
      <c r="R3" s="1" t="s">
        <v>284</v>
      </c>
      <c r="S3" s="2"/>
      <c r="T3" s="1" t="s">
        <v>77</v>
      </c>
      <c r="U3" s="1" t="s">
        <v>26</v>
      </c>
      <c r="V3" s="1" t="s">
        <v>26</v>
      </c>
      <c r="W3" s="2"/>
      <c r="X3" s="2"/>
      <c r="Y3" s="1" t="s">
        <v>26</v>
      </c>
      <c r="Z3" s="1" t="s">
        <v>26</v>
      </c>
      <c r="AA3" s="1" t="s">
        <v>26</v>
      </c>
      <c r="AB3" s="1" t="s">
        <v>26</v>
      </c>
      <c r="AC3" s="1" t="s">
        <v>26</v>
      </c>
      <c r="AD3" s="2"/>
      <c r="AE3" s="2"/>
      <c r="AF3" s="1" t="s">
        <v>26</v>
      </c>
      <c r="AG3" s="1"/>
    </row>
    <row r="4" spans="1:33">
      <c r="A4" s="1">
        <v>2</v>
      </c>
      <c r="B4" s="1" t="s">
        <v>4</v>
      </c>
      <c r="C4" s="2"/>
      <c r="D4" s="1" t="s">
        <v>263</v>
      </c>
      <c r="E4" s="1" t="s">
        <v>27</v>
      </c>
      <c r="F4" s="1" t="s">
        <v>27</v>
      </c>
      <c r="G4" s="1" t="s">
        <v>27</v>
      </c>
      <c r="H4" s="1" t="s">
        <v>27</v>
      </c>
      <c r="I4" s="2"/>
      <c r="J4" s="2"/>
      <c r="K4" s="1" t="s">
        <v>77</v>
      </c>
      <c r="L4" s="1" t="s">
        <v>77</v>
      </c>
      <c r="M4" s="1" t="s">
        <v>77</v>
      </c>
      <c r="N4" s="1" t="s">
        <v>77</v>
      </c>
      <c r="O4" s="1" t="s">
        <v>77</v>
      </c>
      <c r="P4" s="2"/>
      <c r="Q4" s="2"/>
      <c r="R4" s="1" t="s">
        <v>281</v>
      </c>
      <c r="S4" s="2"/>
      <c r="T4" s="1" t="s">
        <v>77</v>
      </c>
      <c r="U4" s="1" t="s">
        <v>77</v>
      </c>
      <c r="V4" s="1" t="s">
        <v>77</v>
      </c>
      <c r="W4" s="2"/>
      <c r="X4" s="2"/>
      <c r="Y4" s="1" t="s">
        <v>77</v>
      </c>
      <c r="Z4" s="1" t="s">
        <v>77</v>
      </c>
      <c r="AA4" s="1" t="s">
        <v>77</v>
      </c>
      <c r="AB4" s="1" t="s">
        <v>77</v>
      </c>
      <c r="AC4" s="1" t="s">
        <v>77</v>
      </c>
      <c r="AD4" s="2"/>
      <c r="AE4" s="2"/>
      <c r="AF4" s="1" t="s">
        <v>77</v>
      </c>
      <c r="AG4" s="1"/>
    </row>
    <row r="5" spans="1:33">
      <c r="A5" s="1">
        <v>3</v>
      </c>
      <c r="B5" s="1" t="s">
        <v>5</v>
      </c>
      <c r="C5" s="2"/>
      <c r="D5" s="1" t="s">
        <v>263</v>
      </c>
      <c r="E5" s="1" t="s">
        <v>27</v>
      </c>
      <c r="F5" s="1" t="s">
        <v>27</v>
      </c>
      <c r="G5" s="1" t="s">
        <v>27</v>
      </c>
      <c r="H5" s="1" t="s">
        <v>27</v>
      </c>
      <c r="I5" s="2"/>
      <c r="J5" s="2"/>
      <c r="K5" s="1" t="s">
        <v>182</v>
      </c>
      <c r="L5" s="1" t="s">
        <v>77</v>
      </c>
      <c r="M5" s="1" t="s">
        <v>77</v>
      </c>
      <c r="N5" s="1" t="s">
        <v>77</v>
      </c>
      <c r="O5" s="1" t="s">
        <v>77</v>
      </c>
      <c r="P5" s="2"/>
      <c r="Q5" s="2"/>
      <c r="R5" s="1" t="s">
        <v>77</v>
      </c>
      <c r="S5" s="2"/>
      <c r="T5" s="1" t="s">
        <v>77</v>
      </c>
      <c r="U5" s="1" t="s">
        <v>77</v>
      </c>
      <c r="V5" s="1" t="s">
        <v>77</v>
      </c>
      <c r="W5" s="2"/>
      <c r="X5" s="2"/>
      <c r="Y5" s="1" t="s">
        <v>77</v>
      </c>
      <c r="Z5" s="1" t="s">
        <v>77</v>
      </c>
      <c r="AA5" s="1" t="s">
        <v>77</v>
      </c>
      <c r="AB5" s="1" t="s">
        <v>77</v>
      </c>
      <c r="AC5" s="1" t="s">
        <v>77</v>
      </c>
      <c r="AD5" s="2"/>
      <c r="AE5" s="2"/>
      <c r="AF5" s="1" t="s">
        <v>77</v>
      </c>
      <c r="AG5" s="1"/>
    </row>
    <row r="6" spans="1:33">
      <c r="A6" s="1">
        <v>4</v>
      </c>
      <c r="B6" s="1" t="s">
        <v>6</v>
      </c>
      <c r="C6" s="2"/>
      <c r="D6" s="1" t="s">
        <v>263</v>
      </c>
      <c r="E6" s="1" t="s">
        <v>27</v>
      </c>
      <c r="F6" s="1" t="s">
        <v>27</v>
      </c>
      <c r="G6" s="1" t="s">
        <v>267</v>
      </c>
      <c r="H6" s="1" t="s">
        <v>269</v>
      </c>
      <c r="I6" s="2"/>
      <c r="J6" s="2"/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2"/>
      <c r="Q6" s="2"/>
      <c r="R6" s="1" t="s">
        <v>26</v>
      </c>
      <c r="S6" s="2"/>
      <c r="T6" s="1" t="s">
        <v>26</v>
      </c>
      <c r="U6" s="1" t="s">
        <v>26</v>
      </c>
      <c r="V6" s="1" t="s">
        <v>26</v>
      </c>
      <c r="W6" s="2"/>
      <c r="X6" s="2"/>
      <c r="Y6" s="1" t="s">
        <v>26</v>
      </c>
      <c r="Z6" s="1" t="s">
        <v>26</v>
      </c>
      <c r="AA6" s="1" t="s">
        <v>26</v>
      </c>
      <c r="AB6" s="1" t="s">
        <v>26</v>
      </c>
      <c r="AC6" s="1" t="s">
        <v>26</v>
      </c>
      <c r="AD6" s="2"/>
      <c r="AE6" s="2"/>
      <c r="AF6" s="1" t="s">
        <v>26</v>
      </c>
      <c r="AG6" s="1"/>
    </row>
    <row r="7" spans="1:33">
      <c r="A7" s="1">
        <v>5</v>
      </c>
      <c r="B7" s="1" t="s">
        <v>7</v>
      </c>
      <c r="C7" s="2"/>
      <c r="D7" s="1" t="s">
        <v>263</v>
      </c>
      <c r="E7" s="1" t="s">
        <v>27</v>
      </c>
      <c r="F7" s="1" t="s">
        <v>27</v>
      </c>
      <c r="G7" s="1" t="s">
        <v>27</v>
      </c>
      <c r="H7" s="1" t="s">
        <v>27</v>
      </c>
      <c r="I7" s="2"/>
      <c r="J7" s="2"/>
      <c r="K7" s="1" t="s">
        <v>77</v>
      </c>
      <c r="L7" s="1" t="s">
        <v>274</v>
      </c>
      <c r="M7" s="1" t="s">
        <v>274</v>
      </c>
      <c r="N7" s="1" t="s">
        <v>27</v>
      </c>
      <c r="O7" s="1" t="s">
        <v>27</v>
      </c>
      <c r="P7" s="2"/>
      <c r="Q7" s="2"/>
      <c r="R7" s="1" t="s">
        <v>27</v>
      </c>
      <c r="S7" s="2"/>
      <c r="T7" s="1" t="s">
        <v>286</v>
      </c>
      <c r="U7" s="1" t="s">
        <v>26</v>
      </c>
      <c r="V7" s="1" t="s">
        <v>26</v>
      </c>
      <c r="W7" s="2"/>
      <c r="X7" s="2"/>
      <c r="Y7" s="1" t="s">
        <v>26</v>
      </c>
      <c r="Z7" s="1" t="s">
        <v>26</v>
      </c>
      <c r="AA7" s="1" t="s">
        <v>26</v>
      </c>
      <c r="AB7" s="1" t="s">
        <v>26</v>
      </c>
      <c r="AC7" s="1" t="s">
        <v>26</v>
      </c>
      <c r="AD7" s="2"/>
      <c r="AE7" s="2"/>
      <c r="AF7" s="1" t="s">
        <v>26</v>
      </c>
      <c r="AG7" s="1"/>
    </row>
    <row r="8" spans="1:33">
      <c r="A8" s="1">
        <v>6</v>
      </c>
      <c r="B8" s="1" t="s">
        <v>8</v>
      </c>
      <c r="C8" s="2"/>
      <c r="D8" s="1" t="s">
        <v>263</v>
      </c>
      <c r="E8" s="1" t="s">
        <v>27</v>
      </c>
      <c r="F8" s="1" t="s">
        <v>27</v>
      </c>
      <c r="G8" s="1" t="s">
        <v>27</v>
      </c>
      <c r="H8" s="1" t="s">
        <v>27</v>
      </c>
      <c r="I8" s="2"/>
      <c r="J8" s="2"/>
      <c r="K8" s="1" t="s">
        <v>278</v>
      </c>
      <c r="L8" s="1" t="s">
        <v>77</v>
      </c>
      <c r="M8" s="1" t="s">
        <v>77</v>
      </c>
      <c r="N8" s="1" t="s">
        <v>77</v>
      </c>
      <c r="O8" s="1" t="s">
        <v>77</v>
      </c>
      <c r="P8" s="2"/>
      <c r="Q8" s="2"/>
      <c r="R8" s="1" t="s">
        <v>283</v>
      </c>
      <c r="S8" s="2"/>
      <c r="T8" s="1" t="s">
        <v>23</v>
      </c>
      <c r="U8" s="1" t="s">
        <v>285</v>
      </c>
      <c r="V8" s="1" t="s">
        <v>285</v>
      </c>
      <c r="W8" s="2"/>
      <c r="X8" s="2"/>
      <c r="Y8" s="1" t="s">
        <v>77</v>
      </c>
      <c r="Z8" s="1" t="s">
        <v>77</v>
      </c>
      <c r="AA8" s="1" t="s">
        <v>77</v>
      </c>
      <c r="AB8" s="1" t="s">
        <v>77</v>
      </c>
      <c r="AC8" s="1" t="s">
        <v>77</v>
      </c>
      <c r="AD8" s="2"/>
      <c r="AE8" s="2"/>
      <c r="AF8" s="1" t="s">
        <v>77</v>
      </c>
      <c r="AG8" s="1"/>
    </row>
    <row r="9" spans="1:33">
      <c r="A9" s="1">
        <v>7</v>
      </c>
      <c r="B9" s="1" t="s">
        <v>9</v>
      </c>
      <c r="C9" s="2"/>
      <c r="D9" s="1" t="s">
        <v>263</v>
      </c>
      <c r="E9" s="1" t="s">
        <v>27</v>
      </c>
      <c r="F9" s="1" t="s">
        <v>27</v>
      </c>
      <c r="G9" s="1" t="s">
        <v>27</v>
      </c>
      <c r="H9" s="1" t="s">
        <v>27</v>
      </c>
      <c r="I9" s="2"/>
      <c r="J9" s="2"/>
      <c r="K9" s="1" t="s">
        <v>77</v>
      </c>
      <c r="L9" s="1" t="s">
        <v>77</v>
      </c>
      <c r="M9" s="1" t="s">
        <v>77</v>
      </c>
      <c r="N9" s="1" t="s">
        <v>77</v>
      </c>
      <c r="O9" s="1" t="s">
        <v>77</v>
      </c>
      <c r="P9" s="2"/>
      <c r="Q9" s="2"/>
      <c r="R9" s="1" t="s">
        <v>277</v>
      </c>
      <c r="S9" s="2"/>
      <c r="T9" s="1" t="s">
        <v>23</v>
      </c>
      <c r="U9" s="1" t="s">
        <v>77</v>
      </c>
      <c r="V9" s="1" t="s">
        <v>77</v>
      </c>
      <c r="W9" s="2"/>
      <c r="X9" s="2"/>
      <c r="Y9" s="1" t="s">
        <v>77</v>
      </c>
      <c r="Z9" s="1" t="s">
        <v>77</v>
      </c>
      <c r="AA9" s="1" t="s">
        <v>77</v>
      </c>
      <c r="AB9" s="1" t="s">
        <v>77</v>
      </c>
      <c r="AC9" s="1" t="s">
        <v>77</v>
      </c>
      <c r="AD9" s="2"/>
      <c r="AE9" s="2"/>
      <c r="AF9" s="1" t="s">
        <v>77</v>
      </c>
      <c r="AG9" s="1"/>
    </row>
    <row r="10" spans="1:33">
      <c r="A10" s="1">
        <v>8</v>
      </c>
      <c r="B10" s="1" t="s">
        <v>10</v>
      </c>
      <c r="C10" s="2"/>
      <c r="D10" s="1" t="s">
        <v>263</v>
      </c>
      <c r="E10" s="1" t="s">
        <v>27</v>
      </c>
      <c r="F10" s="1" t="s">
        <v>27</v>
      </c>
      <c r="G10" s="1" t="s">
        <v>27</v>
      </c>
      <c r="H10" s="1" t="s">
        <v>270</v>
      </c>
      <c r="I10" s="2"/>
      <c r="J10" s="2"/>
      <c r="K10" s="1" t="s">
        <v>273</v>
      </c>
      <c r="L10" s="1" t="s">
        <v>275</v>
      </c>
      <c r="M10" s="1" t="s">
        <v>275</v>
      </c>
      <c r="N10" s="1" t="s">
        <v>275</v>
      </c>
      <c r="O10" s="1" t="s">
        <v>77</v>
      </c>
      <c r="P10" s="2"/>
      <c r="Q10" s="2"/>
      <c r="R10" s="1" t="s">
        <v>77</v>
      </c>
      <c r="S10" s="2"/>
      <c r="T10" s="1" t="s">
        <v>77</v>
      </c>
      <c r="U10" s="1" t="s">
        <v>77</v>
      </c>
      <c r="V10" s="1" t="s">
        <v>77</v>
      </c>
      <c r="W10" s="2"/>
      <c r="X10" s="2"/>
      <c r="Y10" s="1" t="s">
        <v>77</v>
      </c>
      <c r="Z10" s="1" t="s">
        <v>287</v>
      </c>
      <c r="AA10" s="1" t="s">
        <v>77</v>
      </c>
      <c r="AB10" s="1" t="s">
        <v>77</v>
      </c>
      <c r="AC10" s="1" t="s">
        <v>77</v>
      </c>
      <c r="AD10" s="2"/>
      <c r="AE10" s="2"/>
      <c r="AF10" s="1" t="s">
        <v>77</v>
      </c>
      <c r="AG10" s="1"/>
    </row>
    <row r="11" spans="1:33">
      <c r="A11" s="1">
        <v>9</v>
      </c>
      <c r="B11" s="1" t="s">
        <v>11</v>
      </c>
      <c r="C11" s="2"/>
      <c r="D11" s="1" t="s">
        <v>263</v>
      </c>
      <c r="E11" s="1" t="s">
        <v>265</v>
      </c>
      <c r="F11" s="1" t="s">
        <v>27</v>
      </c>
      <c r="G11" s="1" t="s">
        <v>27</v>
      </c>
      <c r="H11" s="1" t="s">
        <v>27</v>
      </c>
      <c r="I11" s="2"/>
      <c r="J11" s="2"/>
      <c r="K11" s="1" t="s">
        <v>77</v>
      </c>
      <c r="L11" s="1" t="s">
        <v>77</v>
      </c>
      <c r="M11" s="1" t="s">
        <v>77</v>
      </c>
      <c r="N11" s="1" t="s">
        <v>77</v>
      </c>
      <c r="O11" s="1" t="s">
        <v>77</v>
      </c>
      <c r="P11" s="2"/>
      <c r="Q11" s="2"/>
      <c r="R11" s="1" t="s">
        <v>282</v>
      </c>
      <c r="S11" s="2"/>
      <c r="T11" s="1" t="s">
        <v>77</v>
      </c>
      <c r="U11" s="1" t="s">
        <v>77</v>
      </c>
      <c r="V11" s="1" t="s">
        <v>77</v>
      </c>
      <c r="W11" s="2"/>
      <c r="X11" s="2"/>
      <c r="Y11" s="1" t="s">
        <v>77</v>
      </c>
      <c r="Z11" s="1" t="s">
        <v>77</v>
      </c>
      <c r="AA11" s="1" t="s">
        <v>77</v>
      </c>
      <c r="AB11" s="1" t="s">
        <v>77</v>
      </c>
      <c r="AC11" s="1" t="s">
        <v>77</v>
      </c>
      <c r="AD11" s="2"/>
      <c r="AE11" s="2"/>
      <c r="AF11" s="1" t="s">
        <v>77</v>
      </c>
      <c r="AG11" s="1"/>
    </row>
    <row r="12" spans="1:33">
      <c r="A12" s="1">
        <v>10</v>
      </c>
      <c r="B12" s="1" t="s">
        <v>12</v>
      </c>
      <c r="C12" s="2"/>
      <c r="D12" s="1" t="s">
        <v>263</v>
      </c>
      <c r="E12" s="1" t="s">
        <v>27</v>
      </c>
      <c r="F12" s="1" t="s">
        <v>27</v>
      </c>
      <c r="G12" s="1" t="s">
        <v>27</v>
      </c>
      <c r="H12" s="1" t="s">
        <v>269</v>
      </c>
      <c r="I12" s="2"/>
      <c r="J12" s="2"/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2"/>
      <c r="Q12" s="2"/>
      <c r="R12" s="1" t="s">
        <v>26</v>
      </c>
      <c r="S12" s="2"/>
      <c r="T12" s="1" t="s">
        <v>26</v>
      </c>
      <c r="U12" s="1" t="s">
        <v>26</v>
      </c>
      <c r="V12" s="1" t="s">
        <v>26</v>
      </c>
      <c r="W12" s="2"/>
      <c r="X12" s="2"/>
      <c r="Y12" s="1" t="s">
        <v>26</v>
      </c>
      <c r="Z12" s="1" t="s">
        <v>26</v>
      </c>
      <c r="AA12" s="1" t="s">
        <v>26</v>
      </c>
      <c r="AB12" s="1" t="s">
        <v>26</v>
      </c>
      <c r="AC12" s="1" t="s">
        <v>26</v>
      </c>
      <c r="AD12" s="2"/>
      <c r="AE12" s="2"/>
      <c r="AF12" s="1" t="s">
        <v>26</v>
      </c>
      <c r="AG12" s="1"/>
    </row>
    <row r="13" spans="1:33">
      <c r="A13" s="1">
        <v>11</v>
      </c>
      <c r="B13" s="1" t="s">
        <v>13</v>
      </c>
      <c r="C13" s="2"/>
      <c r="D13" s="1" t="s">
        <v>263</v>
      </c>
      <c r="E13" s="1" t="s">
        <v>27</v>
      </c>
      <c r="F13" s="1" t="s">
        <v>266</v>
      </c>
      <c r="G13" s="1" t="s">
        <v>27</v>
      </c>
      <c r="H13" s="1" t="s">
        <v>27</v>
      </c>
      <c r="I13" s="2"/>
      <c r="J13" s="2"/>
      <c r="K13" s="1" t="s">
        <v>77</v>
      </c>
      <c r="L13" s="1" t="s">
        <v>77</v>
      </c>
      <c r="M13" s="1" t="s">
        <v>279</v>
      </c>
      <c r="N13" s="1" t="s">
        <v>77</v>
      </c>
      <c r="O13" s="1" t="s">
        <v>77</v>
      </c>
      <c r="P13" s="2"/>
      <c r="Q13" s="2"/>
      <c r="R13" s="1" t="s">
        <v>77</v>
      </c>
      <c r="S13" s="2"/>
      <c r="T13" s="1" t="s">
        <v>77</v>
      </c>
      <c r="U13" s="1" t="s">
        <v>77</v>
      </c>
      <c r="V13" s="1" t="s">
        <v>77</v>
      </c>
      <c r="W13" s="2"/>
      <c r="X13" s="2"/>
      <c r="Y13" s="1" t="s">
        <v>77</v>
      </c>
      <c r="Z13" s="1" t="s">
        <v>77</v>
      </c>
      <c r="AA13" s="1" t="s">
        <v>77</v>
      </c>
      <c r="AB13" s="1" t="s">
        <v>77</v>
      </c>
      <c r="AC13" s="1" t="s">
        <v>288</v>
      </c>
      <c r="AD13" s="2"/>
      <c r="AE13" s="2"/>
      <c r="AF13" s="1" t="s">
        <v>77</v>
      </c>
      <c r="AG13" s="1"/>
    </row>
    <row r="14" spans="1:33">
      <c r="A14" s="1">
        <v>12</v>
      </c>
      <c r="B14" s="1" t="s">
        <v>14</v>
      </c>
      <c r="C14" s="2"/>
      <c r="D14" s="1" t="s">
        <v>263</v>
      </c>
      <c r="E14" s="1" t="s">
        <v>27</v>
      </c>
      <c r="F14" s="1" t="s">
        <v>27</v>
      </c>
      <c r="G14" s="1" t="s">
        <v>267</v>
      </c>
      <c r="H14" s="1" t="s">
        <v>269</v>
      </c>
      <c r="I14" s="2"/>
      <c r="J14" s="2"/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2"/>
      <c r="Q14" s="2"/>
      <c r="R14" s="1" t="s">
        <v>26</v>
      </c>
      <c r="S14" s="2"/>
      <c r="T14" s="1" t="s">
        <v>26</v>
      </c>
      <c r="U14" s="1" t="s">
        <v>26</v>
      </c>
      <c r="V14" s="1" t="s">
        <v>26</v>
      </c>
      <c r="W14" s="2"/>
      <c r="X14" s="2"/>
      <c r="Y14" s="1" t="s">
        <v>26</v>
      </c>
      <c r="Z14" s="1" t="s">
        <v>26</v>
      </c>
      <c r="AA14" s="1" t="s">
        <v>26</v>
      </c>
      <c r="AB14" s="1" t="s">
        <v>26</v>
      </c>
      <c r="AC14" s="1" t="s">
        <v>26</v>
      </c>
      <c r="AD14" s="2"/>
      <c r="AE14" s="2"/>
      <c r="AF14" s="1" t="s">
        <v>26</v>
      </c>
      <c r="AG14" s="1"/>
    </row>
    <row r="15" spans="1:33" hidden="1">
      <c r="A15" s="1">
        <v>13</v>
      </c>
      <c r="B15" s="1" t="s">
        <v>15</v>
      </c>
      <c r="C15" s="2"/>
      <c r="D15" s="1" t="s">
        <v>263</v>
      </c>
      <c r="E15" s="1" t="s">
        <v>27</v>
      </c>
      <c r="F15" s="1" t="s">
        <v>27</v>
      </c>
      <c r="G15" s="1"/>
      <c r="H15" s="1" t="s">
        <v>269</v>
      </c>
      <c r="I15" s="2"/>
      <c r="J15" s="2"/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2"/>
      <c r="Q15" s="2"/>
      <c r="R15" s="1" t="s">
        <v>26</v>
      </c>
      <c r="S15" s="2"/>
      <c r="T15" s="1" t="s">
        <v>26</v>
      </c>
      <c r="U15" s="1" t="s">
        <v>26</v>
      </c>
      <c r="V15" s="1" t="s">
        <v>26</v>
      </c>
      <c r="W15" s="2"/>
      <c r="X15" s="2"/>
      <c r="Y15" s="1" t="s">
        <v>26</v>
      </c>
      <c r="Z15" s="1" t="s">
        <v>26</v>
      </c>
      <c r="AA15" s="1" t="s">
        <v>26</v>
      </c>
      <c r="AB15" s="1" t="s">
        <v>26</v>
      </c>
      <c r="AC15" s="1" t="s">
        <v>26</v>
      </c>
      <c r="AD15" s="2"/>
      <c r="AE15" s="2"/>
      <c r="AF15" s="1" t="s">
        <v>26</v>
      </c>
      <c r="AG15" s="1"/>
    </row>
    <row r="16" spans="1:33">
      <c r="A16" s="1">
        <v>13</v>
      </c>
      <c r="B16" s="1" t="s">
        <v>16</v>
      </c>
      <c r="C16" s="2"/>
      <c r="D16" s="1" t="s">
        <v>263</v>
      </c>
      <c r="E16" s="1" t="s">
        <v>41</v>
      </c>
      <c r="F16" s="1" t="s">
        <v>27</v>
      </c>
      <c r="G16" s="1" t="s">
        <v>268</v>
      </c>
      <c r="H16" s="1" t="s">
        <v>269</v>
      </c>
      <c r="I16" s="2"/>
      <c r="J16" s="2"/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2"/>
      <c r="Q16" s="2"/>
      <c r="R16" s="1" t="s">
        <v>26</v>
      </c>
      <c r="S16" s="2"/>
      <c r="T16" s="1" t="s">
        <v>26</v>
      </c>
      <c r="U16" s="1" t="s">
        <v>26</v>
      </c>
      <c r="V16" s="1" t="s">
        <v>26</v>
      </c>
      <c r="W16" s="2"/>
      <c r="X16" s="2"/>
      <c r="Y16" s="1" t="s">
        <v>26</v>
      </c>
      <c r="Z16" s="1" t="s">
        <v>26</v>
      </c>
      <c r="AA16" s="1" t="s">
        <v>26</v>
      </c>
      <c r="AB16" s="1" t="s">
        <v>26</v>
      </c>
      <c r="AC16" s="1" t="s">
        <v>26</v>
      </c>
      <c r="AD16" s="2"/>
      <c r="AE16" s="2"/>
      <c r="AF16" s="1" t="s">
        <v>77</v>
      </c>
      <c r="AG16" s="1"/>
    </row>
    <row r="17" spans="1:33">
      <c r="A17" s="1">
        <v>14</v>
      </c>
      <c r="B17" s="1" t="s">
        <v>271</v>
      </c>
      <c r="C17" s="2"/>
      <c r="D17" s="1" t="s">
        <v>276</v>
      </c>
      <c r="E17" s="1" t="s">
        <v>276</v>
      </c>
      <c r="F17" s="1" t="s">
        <v>276</v>
      </c>
      <c r="G17" s="1" t="s">
        <v>276</v>
      </c>
      <c r="H17" s="1" t="s">
        <v>276</v>
      </c>
      <c r="I17" s="2"/>
      <c r="J17" s="2"/>
      <c r="K17" s="1" t="s">
        <v>77</v>
      </c>
      <c r="L17" s="1" t="s">
        <v>77</v>
      </c>
      <c r="M17" s="1" t="s">
        <v>77</v>
      </c>
      <c r="N17" s="1" t="s">
        <v>77</v>
      </c>
      <c r="O17" s="1" t="s">
        <v>77</v>
      </c>
      <c r="P17" s="2"/>
      <c r="Q17" s="2"/>
      <c r="R17" s="1" t="s">
        <v>77</v>
      </c>
      <c r="S17" s="2"/>
      <c r="T17" s="1" t="s">
        <v>77</v>
      </c>
      <c r="U17" s="1" t="s">
        <v>77</v>
      </c>
      <c r="V17" s="1" t="s">
        <v>77</v>
      </c>
      <c r="W17" s="2"/>
      <c r="X17" s="2"/>
      <c r="Y17" s="1" t="s">
        <v>77</v>
      </c>
      <c r="Z17" s="1" t="s">
        <v>77</v>
      </c>
      <c r="AA17" s="1" t="s">
        <v>77</v>
      </c>
      <c r="AB17" s="1" t="s">
        <v>77</v>
      </c>
      <c r="AC17" s="1" t="s">
        <v>77</v>
      </c>
      <c r="AD17" s="2"/>
      <c r="AE17" s="2"/>
      <c r="AF17" s="1" t="s">
        <v>77</v>
      </c>
      <c r="AG17" s="1"/>
    </row>
    <row r="18" spans="1:33">
      <c r="A18" s="5" t="s">
        <v>272</v>
      </c>
      <c r="B18" t="s">
        <v>24</v>
      </c>
    </row>
    <row r="19" spans="1:33">
      <c r="A19" s="4" t="s">
        <v>280</v>
      </c>
      <c r="B19" t="s">
        <v>25</v>
      </c>
    </row>
    <row r="20" spans="1:33">
      <c r="A20" s="8" t="s">
        <v>41</v>
      </c>
      <c r="B20" s="7" t="s">
        <v>40</v>
      </c>
    </row>
    <row r="22" spans="1:33">
      <c r="A22" s="13" t="s">
        <v>169</v>
      </c>
    </row>
    <row r="23" spans="1:33">
      <c r="A23" s="14" t="s">
        <v>170</v>
      </c>
    </row>
    <row r="24" spans="1:33">
      <c r="A24" s="14" t="s">
        <v>171</v>
      </c>
    </row>
    <row r="25" spans="1:33">
      <c r="A25" s="14" t="s">
        <v>167</v>
      </c>
    </row>
    <row r="26" spans="1:33">
      <c r="A26" s="14" t="s">
        <v>172</v>
      </c>
    </row>
    <row r="27" spans="1:33">
      <c r="A27" s="14" t="s">
        <v>173</v>
      </c>
    </row>
    <row r="28" spans="1:33">
      <c r="A28" s="14" t="s">
        <v>168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AH17"/>
  <sheetViews>
    <sheetView workbookViewId="0">
      <selection activeCell="B2" sqref="B1:AG1048576"/>
    </sheetView>
  </sheetViews>
  <sheetFormatPr baseColWidth="10" defaultColWidth="8.83203125" defaultRowHeight="15"/>
  <cols>
    <col min="3" max="3" width="15.33203125" customWidth="1"/>
    <col min="4" max="8" width="8.83203125" customWidth="1"/>
    <col min="9" max="9" width="9.1640625" customWidth="1"/>
    <col min="10" max="33" width="8.83203125" customWidth="1"/>
  </cols>
  <sheetData>
    <row r="1" spans="1:34" ht="27">
      <c r="A1" s="57" t="s">
        <v>17</v>
      </c>
      <c r="B1" s="57"/>
      <c r="C1" s="43" t="s">
        <v>264</v>
      </c>
      <c r="D1" s="53">
        <v>45536</v>
      </c>
      <c r="E1" s="53">
        <v>45537</v>
      </c>
      <c r="F1" s="53">
        <v>45538</v>
      </c>
      <c r="G1" s="53">
        <v>45539</v>
      </c>
      <c r="H1" s="53">
        <v>45540</v>
      </c>
      <c r="I1" s="53">
        <v>45541</v>
      </c>
      <c r="J1" s="53">
        <v>45542</v>
      </c>
      <c r="K1" s="53">
        <v>45543</v>
      </c>
      <c r="L1" s="53">
        <v>45544</v>
      </c>
      <c r="M1" s="53">
        <v>45545</v>
      </c>
      <c r="N1" s="53">
        <v>45546</v>
      </c>
      <c r="O1" s="53">
        <v>45547</v>
      </c>
      <c r="P1" s="53">
        <v>45548</v>
      </c>
      <c r="Q1" s="53">
        <v>45549</v>
      </c>
      <c r="R1" s="53">
        <v>45550</v>
      </c>
      <c r="S1" s="53">
        <v>45551</v>
      </c>
      <c r="T1" s="53">
        <v>45552</v>
      </c>
      <c r="U1" s="53">
        <v>45553</v>
      </c>
      <c r="V1" s="53">
        <v>45554</v>
      </c>
      <c r="W1" s="53">
        <v>45555</v>
      </c>
      <c r="X1" s="53">
        <v>45556</v>
      </c>
      <c r="Y1" s="53">
        <v>45557</v>
      </c>
      <c r="Z1" s="53">
        <v>45558</v>
      </c>
      <c r="AA1" s="53">
        <v>45559</v>
      </c>
      <c r="AB1" s="53">
        <v>45560</v>
      </c>
      <c r="AC1" s="53">
        <v>45561</v>
      </c>
      <c r="AD1" s="53">
        <v>45562</v>
      </c>
      <c r="AE1" s="53">
        <v>45563</v>
      </c>
      <c r="AF1" s="53">
        <v>45564</v>
      </c>
      <c r="AG1" s="53">
        <v>45565</v>
      </c>
      <c r="AH1" s="53"/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2"/>
      <c r="E3" s="1">
        <v>0</v>
      </c>
      <c r="F3" s="1">
        <v>0</v>
      </c>
      <c r="G3" s="1">
        <v>0</v>
      </c>
      <c r="H3" s="1">
        <v>0</v>
      </c>
      <c r="I3" s="1">
        <v>0</v>
      </c>
      <c r="J3" s="2"/>
      <c r="K3" s="2"/>
      <c r="L3" s="1">
        <v>0</v>
      </c>
      <c r="M3" s="1">
        <v>0</v>
      </c>
      <c r="N3" s="1">
        <v>0</v>
      </c>
      <c r="O3" s="1">
        <v>0</v>
      </c>
      <c r="P3" s="1">
        <v>0</v>
      </c>
      <c r="Q3" s="2"/>
      <c r="R3" s="2"/>
      <c r="S3" s="1">
        <v>0</v>
      </c>
      <c r="T3" s="2"/>
      <c r="U3" s="1">
        <v>0</v>
      </c>
      <c r="V3" s="1">
        <v>0</v>
      </c>
      <c r="W3" s="1">
        <v>0</v>
      </c>
      <c r="X3" s="2"/>
      <c r="Y3" s="2"/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/>
      <c r="AF3" s="2"/>
      <c r="AG3" s="1">
        <v>0</v>
      </c>
      <c r="AH3" s="1"/>
    </row>
    <row r="4" spans="1:34">
      <c r="A4" s="1">
        <v>2</v>
      </c>
      <c r="B4" s="1" t="s">
        <v>4</v>
      </c>
      <c r="C4" s="1">
        <f t="shared" ref="C4:C17" si="0">SUM(D4:AH4)</f>
        <v>35</v>
      </c>
      <c r="D4" s="2"/>
      <c r="E4" s="1">
        <v>0</v>
      </c>
      <c r="F4" s="1">
        <v>7</v>
      </c>
      <c r="G4" s="1">
        <v>0</v>
      </c>
      <c r="H4" s="1">
        <v>0</v>
      </c>
      <c r="I4" s="1">
        <v>0</v>
      </c>
      <c r="J4" s="2"/>
      <c r="K4" s="2"/>
      <c r="L4" s="1">
        <v>0</v>
      </c>
      <c r="M4" s="1">
        <v>3</v>
      </c>
      <c r="N4" s="1">
        <v>4</v>
      </c>
      <c r="O4" s="1">
        <v>0</v>
      </c>
      <c r="P4" s="1">
        <v>0</v>
      </c>
      <c r="Q4" s="2"/>
      <c r="R4" s="2"/>
      <c r="S4" s="1">
        <v>16</v>
      </c>
      <c r="T4" s="2"/>
      <c r="U4" s="1">
        <v>0</v>
      </c>
      <c r="V4" s="1">
        <v>0</v>
      </c>
      <c r="W4" s="1">
        <v>5</v>
      </c>
      <c r="X4" s="2"/>
      <c r="Y4" s="2"/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/>
      <c r="AF4" s="2"/>
      <c r="AG4" s="1">
        <v>0</v>
      </c>
      <c r="AH4" s="1"/>
    </row>
    <row r="5" spans="1:34">
      <c r="A5" s="1">
        <v>3</v>
      </c>
      <c r="B5" s="1" t="s">
        <v>5</v>
      </c>
      <c r="C5" s="1">
        <f t="shared" si="0"/>
        <v>10</v>
      </c>
      <c r="D5" s="2"/>
      <c r="E5" s="1">
        <v>0</v>
      </c>
      <c r="F5" s="1">
        <v>0</v>
      </c>
      <c r="G5" s="1">
        <v>0</v>
      </c>
      <c r="H5" s="1">
        <v>0</v>
      </c>
      <c r="I5" s="1">
        <v>0</v>
      </c>
      <c r="J5" s="2"/>
      <c r="K5" s="2"/>
      <c r="L5" s="1">
        <v>6</v>
      </c>
      <c r="M5" s="1">
        <v>0</v>
      </c>
      <c r="N5" s="1">
        <v>4</v>
      </c>
      <c r="O5" s="1">
        <v>0</v>
      </c>
      <c r="P5" s="1">
        <v>0</v>
      </c>
      <c r="Q5" s="2"/>
      <c r="R5" s="2"/>
      <c r="S5" s="1">
        <v>0</v>
      </c>
      <c r="T5" s="2"/>
      <c r="U5" s="1">
        <v>0</v>
      </c>
      <c r="V5" s="1">
        <v>0</v>
      </c>
      <c r="W5" s="1">
        <v>0</v>
      </c>
      <c r="X5" s="2"/>
      <c r="Y5" s="2"/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/>
      <c r="AF5" s="2"/>
      <c r="AG5" s="1">
        <v>0</v>
      </c>
      <c r="AH5" s="1"/>
    </row>
    <row r="6" spans="1:34">
      <c r="A6" s="1">
        <v>4</v>
      </c>
      <c r="B6" s="1" t="s">
        <v>6</v>
      </c>
      <c r="C6" s="1">
        <f t="shared" si="0"/>
        <v>22</v>
      </c>
      <c r="D6" s="2"/>
      <c r="E6" s="1">
        <v>6</v>
      </c>
      <c r="F6" s="1">
        <v>0</v>
      </c>
      <c r="G6" s="1">
        <v>0</v>
      </c>
      <c r="H6" s="1">
        <v>16</v>
      </c>
      <c r="I6" s="1">
        <v>0</v>
      </c>
      <c r="J6" s="2"/>
      <c r="K6" s="2"/>
      <c r="L6" s="1">
        <v>0</v>
      </c>
      <c r="M6" s="1">
        <v>0</v>
      </c>
      <c r="N6" s="1">
        <v>0</v>
      </c>
      <c r="O6" s="1">
        <v>0</v>
      </c>
      <c r="P6" s="1">
        <v>0</v>
      </c>
      <c r="Q6" s="2"/>
      <c r="R6" s="2"/>
      <c r="S6" s="1">
        <v>0</v>
      </c>
      <c r="T6" s="2"/>
      <c r="U6" s="1">
        <v>0</v>
      </c>
      <c r="V6" s="1">
        <v>0</v>
      </c>
      <c r="W6" s="1">
        <v>0</v>
      </c>
      <c r="X6" s="2"/>
      <c r="Y6" s="2"/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2"/>
      <c r="AF6" s="2"/>
      <c r="AG6" s="1">
        <v>0</v>
      </c>
      <c r="AH6" s="1"/>
    </row>
    <row r="7" spans="1:34">
      <c r="A7" s="1">
        <v>5</v>
      </c>
      <c r="B7" s="1" t="s">
        <v>7</v>
      </c>
      <c r="C7" s="1">
        <f t="shared" si="0"/>
        <v>16</v>
      </c>
      <c r="D7" s="2"/>
      <c r="E7" s="1">
        <v>0</v>
      </c>
      <c r="F7" s="1">
        <v>0</v>
      </c>
      <c r="G7" s="1">
        <v>0</v>
      </c>
      <c r="H7" s="1">
        <v>0</v>
      </c>
      <c r="I7" s="1">
        <v>0</v>
      </c>
      <c r="J7" s="2"/>
      <c r="K7" s="2"/>
      <c r="L7" s="1">
        <v>0</v>
      </c>
      <c r="M7" s="1">
        <v>0</v>
      </c>
      <c r="N7" s="1">
        <v>0</v>
      </c>
      <c r="O7" s="1">
        <v>0</v>
      </c>
      <c r="P7" s="1">
        <v>0</v>
      </c>
      <c r="Q7" s="2"/>
      <c r="R7" s="2"/>
      <c r="S7" s="1">
        <v>0</v>
      </c>
      <c r="T7" s="2"/>
      <c r="U7" s="1">
        <v>16</v>
      </c>
      <c r="V7" s="1">
        <v>0</v>
      </c>
      <c r="W7" s="1">
        <v>0</v>
      </c>
      <c r="X7" s="2"/>
      <c r="Y7" s="2"/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"/>
      <c r="AF7" s="2"/>
      <c r="AG7" s="1">
        <v>0</v>
      </c>
      <c r="AH7" s="1"/>
    </row>
    <row r="8" spans="1:34">
      <c r="A8" s="1">
        <v>6</v>
      </c>
      <c r="B8" s="1" t="s">
        <v>8</v>
      </c>
      <c r="C8" s="1">
        <f t="shared" si="0"/>
        <v>36</v>
      </c>
      <c r="D8" s="2"/>
      <c r="E8" s="1">
        <v>0</v>
      </c>
      <c r="F8" s="1">
        <v>0</v>
      </c>
      <c r="G8" s="1">
        <v>0</v>
      </c>
      <c r="H8" s="1">
        <v>0</v>
      </c>
      <c r="I8" s="1">
        <v>0</v>
      </c>
      <c r="J8" s="2"/>
      <c r="K8" s="2"/>
      <c r="L8" s="1">
        <v>16</v>
      </c>
      <c r="M8" s="1">
        <v>0</v>
      </c>
      <c r="N8" s="1">
        <v>0</v>
      </c>
      <c r="O8" s="1">
        <v>0</v>
      </c>
      <c r="P8" s="1">
        <v>0</v>
      </c>
      <c r="Q8" s="2"/>
      <c r="R8" s="2"/>
      <c r="S8" s="1">
        <v>0</v>
      </c>
      <c r="T8" s="2"/>
      <c r="U8" s="1">
        <v>16</v>
      </c>
      <c r="V8" s="1">
        <v>0</v>
      </c>
      <c r="W8" s="1">
        <v>0</v>
      </c>
      <c r="X8" s="2"/>
      <c r="Y8" s="2"/>
      <c r="Z8" s="1">
        <v>0</v>
      </c>
      <c r="AA8" s="1">
        <v>0</v>
      </c>
      <c r="AB8" s="1">
        <v>0</v>
      </c>
      <c r="AC8" s="1">
        <v>0</v>
      </c>
      <c r="AD8" s="1">
        <v>4</v>
      </c>
      <c r="AE8" s="2"/>
      <c r="AF8" s="2"/>
      <c r="AG8" s="1">
        <v>0</v>
      </c>
      <c r="AH8" s="1"/>
    </row>
    <row r="9" spans="1:34">
      <c r="A9" s="1">
        <v>7</v>
      </c>
      <c r="B9" s="1" t="s">
        <v>9</v>
      </c>
      <c r="C9" s="1">
        <f t="shared" si="0"/>
        <v>16</v>
      </c>
      <c r="D9" s="2"/>
      <c r="E9" s="1">
        <v>0</v>
      </c>
      <c r="F9" s="1">
        <v>0</v>
      </c>
      <c r="G9" s="1">
        <v>0</v>
      </c>
      <c r="H9" s="1">
        <v>0</v>
      </c>
      <c r="I9" s="1">
        <v>0</v>
      </c>
      <c r="J9" s="2"/>
      <c r="K9" s="2"/>
      <c r="L9" s="1">
        <v>0</v>
      </c>
      <c r="M9" s="1">
        <v>0</v>
      </c>
      <c r="N9" s="1">
        <v>0</v>
      </c>
      <c r="O9" s="1">
        <v>0</v>
      </c>
      <c r="P9" s="1">
        <v>0</v>
      </c>
      <c r="Q9" s="2"/>
      <c r="R9" s="2"/>
      <c r="S9" s="1">
        <v>0</v>
      </c>
      <c r="T9" s="2"/>
      <c r="U9" s="1">
        <v>16</v>
      </c>
      <c r="V9" s="1">
        <v>0</v>
      </c>
      <c r="W9" s="1">
        <v>0</v>
      </c>
      <c r="X9" s="2"/>
      <c r="Y9" s="2"/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2"/>
      <c r="AF9" s="2"/>
      <c r="AG9" s="1">
        <v>0</v>
      </c>
      <c r="AH9" s="1"/>
    </row>
    <row r="10" spans="1:34">
      <c r="A10" s="1">
        <v>8</v>
      </c>
      <c r="B10" s="1" t="s">
        <v>10</v>
      </c>
      <c r="C10" s="1">
        <f t="shared" si="0"/>
        <v>4</v>
      </c>
      <c r="D10" s="2"/>
      <c r="E10" s="1">
        <v>4</v>
      </c>
      <c r="F10" s="1">
        <v>0</v>
      </c>
      <c r="G10" s="1">
        <v>0</v>
      </c>
      <c r="H10" s="1">
        <v>0</v>
      </c>
      <c r="I10" s="1">
        <v>0</v>
      </c>
      <c r="J10" s="2"/>
      <c r="K10" s="2"/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/>
      <c r="R10" s="2"/>
      <c r="S10" s="1">
        <v>0</v>
      </c>
      <c r="T10" s="2"/>
      <c r="U10" s="1">
        <v>0</v>
      </c>
      <c r="V10" s="1">
        <v>0</v>
      </c>
      <c r="W10" s="1">
        <v>0</v>
      </c>
      <c r="X10" s="2"/>
      <c r="Y10" s="2"/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2"/>
      <c r="AF10" s="2"/>
      <c r="AG10" s="1">
        <v>0</v>
      </c>
      <c r="AH10" s="1"/>
    </row>
    <row r="11" spans="1:34">
      <c r="A11" s="1">
        <v>9</v>
      </c>
      <c r="B11" s="1" t="s">
        <v>11</v>
      </c>
      <c r="C11" s="1">
        <f t="shared" si="0"/>
        <v>24</v>
      </c>
      <c r="D11" s="2"/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/>
      <c r="K11" s="2"/>
      <c r="L11" s="1">
        <v>0</v>
      </c>
      <c r="M11" s="1">
        <v>0</v>
      </c>
      <c r="N11" s="1">
        <v>0</v>
      </c>
      <c r="O11" s="1">
        <v>0</v>
      </c>
      <c r="P11" s="1">
        <v>8</v>
      </c>
      <c r="Q11" s="2"/>
      <c r="R11" s="2"/>
      <c r="S11" s="1">
        <v>16</v>
      </c>
      <c r="T11" s="2"/>
      <c r="U11" s="1">
        <v>0</v>
      </c>
      <c r="V11" s="1">
        <v>0</v>
      </c>
      <c r="W11" s="1">
        <v>0</v>
      </c>
      <c r="X11" s="2"/>
      <c r="Y11" s="2"/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2"/>
      <c r="AF11" s="2"/>
      <c r="AG11" s="1">
        <v>0</v>
      </c>
      <c r="AH11" s="1"/>
    </row>
    <row r="12" spans="1:34">
      <c r="A12" s="1">
        <v>10</v>
      </c>
      <c r="B12" s="1" t="s">
        <v>12</v>
      </c>
      <c r="C12" s="1">
        <f t="shared" si="0"/>
        <v>0</v>
      </c>
      <c r="D12" s="2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/>
      <c r="K12" s="2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"/>
      <c r="R12" s="2"/>
      <c r="S12" s="1">
        <v>0</v>
      </c>
      <c r="T12" s="2"/>
      <c r="U12" s="1">
        <v>0</v>
      </c>
      <c r="V12" s="1">
        <v>0</v>
      </c>
      <c r="W12" s="1">
        <v>0</v>
      </c>
      <c r="X12" s="2"/>
      <c r="Y12" s="2"/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2"/>
      <c r="AF12" s="2"/>
      <c r="AG12" s="1">
        <v>0</v>
      </c>
      <c r="AH12" s="1"/>
    </row>
    <row r="13" spans="1:34">
      <c r="A13" s="1">
        <v>11</v>
      </c>
      <c r="B13" s="1" t="s">
        <v>13</v>
      </c>
      <c r="C13" s="1">
        <f t="shared" si="0"/>
        <v>24</v>
      </c>
      <c r="D13" s="2"/>
      <c r="E13" s="1">
        <v>0</v>
      </c>
      <c r="F13" s="1">
        <v>0</v>
      </c>
      <c r="G13" s="1">
        <v>4</v>
      </c>
      <c r="H13" s="1">
        <v>0</v>
      </c>
      <c r="I13" s="1">
        <v>0</v>
      </c>
      <c r="J13" s="2"/>
      <c r="K13" s="2"/>
      <c r="L13" s="1">
        <v>0</v>
      </c>
      <c r="M13" s="1">
        <v>0</v>
      </c>
      <c r="N13" s="1">
        <v>16</v>
      </c>
      <c r="O13" s="1">
        <v>0</v>
      </c>
      <c r="P13" s="1">
        <v>0</v>
      </c>
      <c r="Q13" s="2"/>
      <c r="R13" s="2"/>
      <c r="S13" s="1">
        <v>0</v>
      </c>
      <c r="T13" s="2"/>
      <c r="U13" s="1">
        <v>0</v>
      </c>
      <c r="V13" s="1">
        <v>0</v>
      </c>
      <c r="W13" s="1">
        <v>0</v>
      </c>
      <c r="X13" s="2"/>
      <c r="Y13" s="2"/>
      <c r="Z13" s="1">
        <v>0</v>
      </c>
      <c r="AA13" s="1">
        <v>0</v>
      </c>
      <c r="AB13" s="1">
        <v>0</v>
      </c>
      <c r="AC13" s="1">
        <v>0</v>
      </c>
      <c r="AD13" s="1">
        <v>4</v>
      </c>
      <c r="AE13" s="2"/>
      <c r="AF13" s="2"/>
      <c r="AG13" s="1">
        <v>0</v>
      </c>
      <c r="AH13" s="1"/>
    </row>
    <row r="14" spans="1:34">
      <c r="A14" s="1">
        <v>12</v>
      </c>
      <c r="B14" s="1" t="s">
        <v>14</v>
      </c>
      <c r="C14" s="1">
        <f t="shared" si="0"/>
        <v>16</v>
      </c>
      <c r="D14" s="2"/>
      <c r="E14" s="1">
        <v>0</v>
      </c>
      <c r="F14" s="1">
        <v>0</v>
      </c>
      <c r="G14" s="1">
        <v>0</v>
      </c>
      <c r="H14" s="1">
        <v>16</v>
      </c>
      <c r="I14" s="1">
        <v>0</v>
      </c>
      <c r="J14" s="2"/>
      <c r="K14" s="2"/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2"/>
      <c r="R14" s="2"/>
      <c r="S14" s="1">
        <v>0</v>
      </c>
      <c r="T14" s="2"/>
      <c r="U14" s="1">
        <v>0</v>
      </c>
      <c r="V14" s="1">
        <v>0</v>
      </c>
      <c r="W14" s="1">
        <v>0</v>
      </c>
      <c r="X14" s="2"/>
      <c r="Y14" s="2"/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"/>
      <c r="AF14" s="2"/>
      <c r="AG14" s="1">
        <v>0</v>
      </c>
      <c r="AH14" s="1"/>
    </row>
    <row r="15" spans="1:34" ht="16.25" hidden="1" customHeight="1">
      <c r="A15" s="1">
        <v>13</v>
      </c>
      <c r="B15" s="1" t="s">
        <v>15</v>
      </c>
      <c r="C15" s="1">
        <f t="shared" si="0"/>
        <v>0</v>
      </c>
      <c r="D15" s="2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/>
      <c r="K15" s="2"/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/>
      <c r="R15" s="2"/>
      <c r="S15" s="1">
        <v>0</v>
      </c>
      <c r="T15" s="2"/>
      <c r="U15" s="1">
        <v>0</v>
      </c>
      <c r="V15" s="1">
        <v>0</v>
      </c>
      <c r="W15" s="1">
        <v>0</v>
      </c>
      <c r="X15" s="2"/>
      <c r="Y15" s="2"/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/>
      <c r="AF15" s="2"/>
      <c r="AG15" s="1">
        <v>0</v>
      </c>
      <c r="AH15" s="1"/>
    </row>
    <row r="16" spans="1:34">
      <c r="A16" s="1">
        <v>13</v>
      </c>
      <c r="B16" s="1" t="s">
        <v>16</v>
      </c>
      <c r="C16" s="1">
        <f t="shared" si="0"/>
        <v>18</v>
      </c>
      <c r="D16" s="2"/>
      <c r="E16" s="1">
        <v>0</v>
      </c>
      <c r="F16" s="1">
        <v>2</v>
      </c>
      <c r="G16" s="1">
        <v>0</v>
      </c>
      <c r="H16" s="1">
        <v>16</v>
      </c>
      <c r="I16" s="1">
        <v>0</v>
      </c>
      <c r="J16" s="2"/>
      <c r="K16" s="2"/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"/>
      <c r="R16" s="2"/>
      <c r="S16" s="1">
        <v>0</v>
      </c>
      <c r="T16" s="2"/>
      <c r="U16" s="1">
        <v>0</v>
      </c>
      <c r="V16" s="1">
        <v>0</v>
      </c>
      <c r="W16" s="1">
        <v>0</v>
      </c>
      <c r="X16" s="2"/>
      <c r="Y16" s="2"/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2"/>
      <c r="AF16" s="2"/>
      <c r="AG16" s="1">
        <v>0</v>
      </c>
      <c r="AH16" s="1"/>
    </row>
    <row r="17" spans="1:34">
      <c r="A17" s="1">
        <v>14</v>
      </c>
      <c r="B17" s="1" t="s">
        <v>271</v>
      </c>
      <c r="C17" s="1">
        <f t="shared" si="0"/>
        <v>0</v>
      </c>
      <c r="D17" s="2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"/>
      <c r="K17" s="2"/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2"/>
      <c r="R17" s="2"/>
      <c r="S17" s="1">
        <v>0</v>
      </c>
      <c r="T17" s="2"/>
      <c r="U17" s="1">
        <v>0</v>
      </c>
      <c r="V17" s="1">
        <v>0</v>
      </c>
      <c r="W17" s="1">
        <v>0</v>
      </c>
      <c r="X17" s="2"/>
      <c r="Y17" s="2"/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2"/>
      <c r="AF17" s="2"/>
      <c r="AG17" s="1">
        <v>0</v>
      </c>
      <c r="AH17" s="1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AH17"/>
  <sheetViews>
    <sheetView workbookViewId="0">
      <selection activeCell="A8" sqref="A8:XFD8"/>
    </sheetView>
  </sheetViews>
  <sheetFormatPr baseColWidth="10" defaultColWidth="8.83203125" defaultRowHeight="15"/>
  <cols>
    <col min="3" max="3" width="15.33203125" customWidth="1"/>
    <col min="4" max="17" width="8.83203125" customWidth="1"/>
    <col min="18" max="18" width="7.83203125" customWidth="1"/>
    <col min="19" max="34" width="8.83203125" customWidth="1"/>
    <col min="35" max="35" width="0" hidden="1" customWidth="1"/>
  </cols>
  <sheetData>
    <row r="1" spans="1:34" ht="27">
      <c r="A1" s="59" t="s">
        <v>19</v>
      </c>
      <c r="B1" s="59"/>
      <c r="C1" s="43" t="s">
        <v>289</v>
      </c>
      <c r="D1" s="53">
        <v>45536</v>
      </c>
      <c r="E1" s="53">
        <v>45537</v>
      </c>
      <c r="F1" s="53">
        <v>45538</v>
      </c>
      <c r="G1" s="53">
        <v>45539</v>
      </c>
      <c r="H1" s="53">
        <v>45540</v>
      </c>
      <c r="I1" s="53">
        <v>45541</v>
      </c>
      <c r="J1" s="53">
        <v>45542</v>
      </c>
      <c r="K1" s="53">
        <v>45543</v>
      </c>
      <c r="L1" s="53">
        <v>45544</v>
      </c>
      <c r="M1" s="53">
        <v>45545</v>
      </c>
      <c r="N1" s="53">
        <v>45546</v>
      </c>
      <c r="O1" s="53">
        <v>45547</v>
      </c>
      <c r="P1" s="53">
        <v>45548</v>
      </c>
      <c r="Q1" s="53">
        <v>45549</v>
      </c>
      <c r="R1" s="53">
        <v>45550</v>
      </c>
      <c r="S1" s="53">
        <v>45551</v>
      </c>
      <c r="T1" s="53">
        <v>45552</v>
      </c>
      <c r="U1" s="53">
        <v>45553</v>
      </c>
      <c r="V1" s="53">
        <v>45554</v>
      </c>
      <c r="W1" s="53">
        <v>45555</v>
      </c>
      <c r="X1" s="53">
        <v>45556</v>
      </c>
      <c r="Y1" s="53">
        <v>45557</v>
      </c>
      <c r="Z1" s="53">
        <v>45558</v>
      </c>
      <c r="AA1" s="53">
        <v>45559</v>
      </c>
      <c r="AB1" s="53">
        <v>45560</v>
      </c>
      <c r="AC1" s="53">
        <v>45561</v>
      </c>
      <c r="AD1" s="53">
        <v>45562</v>
      </c>
      <c r="AE1" s="53">
        <v>45563</v>
      </c>
      <c r="AF1" s="53">
        <v>45564</v>
      </c>
      <c r="AG1" s="53">
        <v>45565</v>
      </c>
      <c r="AH1" s="53"/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2"/>
      <c r="E3" s="1">
        <v>0</v>
      </c>
      <c r="F3" s="1">
        <v>0</v>
      </c>
      <c r="G3" s="1">
        <v>0</v>
      </c>
      <c r="H3" s="1">
        <v>0</v>
      </c>
      <c r="I3" s="1">
        <v>0</v>
      </c>
      <c r="J3" s="2"/>
      <c r="K3" s="2"/>
      <c r="L3" s="1">
        <v>0</v>
      </c>
      <c r="M3" s="1">
        <v>0</v>
      </c>
      <c r="N3" s="1">
        <v>0</v>
      </c>
      <c r="O3" s="1">
        <v>0</v>
      </c>
      <c r="P3" s="1">
        <v>0</v>
      </c>
      <c r="Q3" s="2"/>
      <c r="R3" s="2"/>
      <c r="S3" s="1">
        <v>0</v>
      </c>
      <c r="T3" s="2"/>
      <c r="U3" s="1">
        <v>0</v>
      </c>
      <c r="V3" s="1">
        <v>0</v>
      </c>
      <c r="W3" s="1">
        <v>0</v>
      </c>
      <c r="X3" s="2"/>
      <c r="Y3" s="2"/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/>
      <c r="AF3" s="2"/>
      <c r="AG3" s="1">
        <v>0</v>
      </c>
      <c r="AH3" s="1"/>
    </row>
    <row r="4" spans="1:34">
      <c r="A4" s="1">
        <v>2</v>
      </c>
      <c r="B4" s="1" t="s">
        <v>4</v>
      </c>
      <c r="C4" s="1">
        <f t="shared" ref="C4:C17" si="0">SUM(D4:AH4)</f>
        <v>0</v>
      </c>
      <c r="D4" s="2"/>
      <c r="E4" s="1">
        <v>0</v>
      </c>
      <c r="F4" s="1">
        <v>0</v>
      </c>
      <c r="G4" s="1">
        <v>0</v>
      </c>
      <c r="H4" s="1">
        <v>0</v>
      </c>
      <c r="I4" s="1">
        <v>0</v>
      </c>
      <c r="J4" s="2"/>
      <c r="K4" s="2"/>
      <c r="L4" s="1">
        <v>0</v>
      </c>
      <c r="M4" s="1">
        <v>0</v>
      </c>
      <c r="N4" s="1">
        <v>0</v>
      </c>
      <c r="O4" s="1">
        <v>0</v>
      </c>
      <c r="P4" s="1">
        <v>0</v>
      </c>
      <c r="Q4" s="2"/>
      <c r="R4" s="2"/>
      <c r="S4" s="1">
        <v>0</v>
      </c>
      <c r="T4" s="2"/>
      <c r="U4" s="1">
        <v>0</v>
      </c>
      <c r="V4" s="1">
        <v>0</v>
      </c>
      <c r="W4" s="1">
        <v>0</v>
      </c>
      <c r="X4" s="2"/>
      <c r="Y4" s="2"/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/>
      <c r="AF4" s="2"/>
      <c r="AG4" s="1">
        <v>0</v>
      </c>
      <c r="AH4" s="1"/>
    </row>
    <row r="5" spans="1:34">
      <c r="A5" s="1">
        <v>3</v>
      </c>
      <c r="B5" s="1" t="s">
        <v>5</v>
      </c>
      <c r="C5" s="1">
        <f t="shared" si="0"/>
        <v>0</v>
      </c>
      <c r="D5" s="2"/>
      <c r="E5" s="1">
        <v>0</v>
      </c>
      <c r="F5" s="1">
        <v>0</v>
      </c>
      <c r="G5" s="1">
        <v>0</v>
      </c>
      <c r="H5" s="1">
        <v>0</v>
      </c>
      <c r="I5" s="1">
        <v>0</v>
      </c>
      <c r="J5" s="2"/>
      <c r="K5" s="2"/>
      <c r="L5" s="1">
        <v>0</v>
      </c>
      <c r="M5" s="1">
        <v>0</v>
      </c>
      <c r="N5" s="1">
        <v>0</v>
      </c>
      <c r="O5" s="1">
        <v>0</v>
      </c>
      <c r="P5" s="1">
        <v>0</v>
      </c>
      <c r="Q5" s="2"/>
      <c r="R5" s="2"/>
      <c r="S5" s="1">
        <v>0</v>
      </c>
      <c r="T5" s="2"/>
      <c r="U5" s="1">
        <v>0</v>
      </c>
      <c r="V5" s="1">
        <v>0</v>
      </c>
      <c r="W5" s="1">
        <v>0</v>
      </c>
      <c r="X5" s="2"/>
      <c r="Y5" s="2"/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/>
      <c r="AF5" s="2"/>
      <c r="AG5" s="1">
        <v>0</v>
      </c>
      <c r="AH5" s="1"/>
    </row>
    <row r="6" spans="1:34">
      <c r="A6" s="1">
        <v>4</v>
      </c>
      <c r="B6" s="1" t="s">
        <v>6</v>
      </c>
      <c r="C6" s="1">
        <f t="shared" si="0"/>
        <v>11</v>
      </c>
      <c r="D6" s="2"/>
      <c r="E6" s="1">
        <v>2</v>
      </c>
      <c r="F6" s="1">
        <v>0</v>
      </c>
      <c r="G6" s="1">
        <v>1</v>
      </c>
      <c r="H6" s="1">
        <v>0</v>
      </c>
      <c r="I6" s="1">
        <v>0</v>
      </c>
      <c r="J6" s="2"/>
      <c r="K6" s="2"/>
      <c r="L6" s="1">
        <v>0</v>
      </c>
      <c r="M6" s="1">
        <v>0</v>
      </c>
      <c r="N6" s="1">
        <v>0</v>
      </c>
      <c r="O6" s="1">
        <v>4</v>
      </c>
      <c r="P6" s="1">
        <v>0</v>
      </c>
      <c r="Q6" s="2"/>
      <c r="R6" s="2"/>
      <c r="S6" s="1">
        <v>0</v>
      </c>
      <c r="T6" s="2"/>
      <c r="U6" s="1">
        <v>0</v>
      </c>
      <c r="V6" s="1">
        <v>4</v>
      </c>
      <c r="W6" s="1">
        <v>0</v>
      </c>
      <c r="X6" s="2"/>
      <c r="Y6" s="2"/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2"/>
      <c r="AF6" s="2"/>
      <c r="AG6" s="1">
        <v>0</v>
      </c>
      <c r="AH6" s="1"/>
    </row>
    <row r="7" spans="1:34">
      <c r="A7" s="1">
        <v>5</v>
      </c>
      <c r="B7" s="1" t="s">
        <v>7</v>
      </c>
      <c r="C7" s="1">
        <f t="shared" si="0"/>
        <v>2</v>
      </c>
      <c r="D7" s="2"/>
      <c r="E7" s="1">
        <v>0</v>
      </c>
      <c r="F7" s="1">
        <v>0</v>
      </c>
      <c r="G7" s="1">
        <v>0</v>
      </c>
      <c r="H7" s="1">
        <v>0</v>
      </c>
      <c r="I7" s="1">
        <v>0</v>
      </c>
      <c r="J7" s="2"/>
      <c r="K7" s="2"/>
      <c r="L7" s="1">
        <v>0</v>
      </c>
      <c r="M7" s="1">
        <v>0</v>
      </c>
      <c r="N7" s="1">
        <v>0</v>
      </c>
      <c r="O7" s="1">
        <v>0</v>
      </c>
      <c r="P7" s="1">
        <v>0</v>
      </c>
      <c r="Q7" s="2"/>
      <c r="R7" s="2"/>
      <c r="S7" s="1">
        <v>0</v>
      </c>
      <c r="T7" s="2"/>
      <c r="U7" s="1">
        <v>0</v>
      </c>
      <c r="V7" s="1">
        <v>0</v>
      </c>
      <c r="W7" s="1">
        <v>2</v>
      </c>
      <c r="X7" s="2"/>
      <c r="Y7" s="2"/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"/>
      <c r="AF7" s="2"/>
      <c r="AG7" s="1">
        <v>0</v>
      </c>
      <c r="AH7" s="1"/>
    </row>
    <row r="8" spans="1:34">
      <c r="A8" s="1">
        <v>6</v>
      </c>
      <c r="B8" s="1" t="s">
        <v>8</v>
      </c>
      <c r="C8" s="1">
        <f t="shared" si="0"/>
        <v>6</v>
      </c>
      <c r="D8" s="2"/>
      <c r="E8" s="1">
        <v>0</v>
      </c>
      <c r="F8" s="1">
        <v>0</v>
      </c>
      <c r="G8" s="1">
        <v>0</v>
      </c>
      <c r="H8" s="1">
        <v>1</v>
      </c>
      <c r="I8" s="1">
        <v>0</v>
      </c>
      <c r="J8" s="2"/>
      <c r="K8" s="2"/>
      <c r="L8" s="1">
        <v>0</v>
      </c>
      <c r="M8" s="1">
        <v>1</v>
      </c>
      <c r="N8" s="1">
        <v>1</v>
      </c>
      <c r="O8" s="1">
        <v>1</v>
      </c>
      <c r="P8" s="1">
        <v>0</v>
      </c>
      <c r="Q8" s="2"/>
      <c r="R8" s="2"/>
      <c r="S8" s="1">
        <v>0</v>
      </c>
      <c r="T8" s="2"/>
      <c r="U8" s="1">
        <v>0</v>
      </c>
      <c r="V8" s="1">
        <v>0</v>
      </c>
      <c r="W8" s="1">
        <v>0</v>
      </c>
      <c r="X8" s="2"/>
      <c r="Y8" s="2"/>
      <c r="Z8" s="1">
        <v>0</v>
      </c>
      <c r="AA8" s="1">
        <v>0</v>
      </c>
      <c r="AB8" s="1">
        <v>1</v>
      </c>
      <c r="AC8" s="1">
        <v>1</v>
      </c>
      <c r="AD8" s="1">
        <v>0</v>
      </c>
      <c r="AE8" s="2"/>
      <c r="AF8" s="2"/>
      <c r="AG8" s="1">
        <v>0</v>
      </c>
      <c r="AH8" s="1"/>
    </row>
    <row r="9" spans="1:34">
      <c r="A9" s="1">
        <v>7</v>
      </c>
      <c r="B9" s="1" t="s">
        <v>9</v>
      </c>
      <c r="C9" s="1">
        <f t="shared" si="0"/>
        <v>17</v>
      </c>
      <c r="D9" s="2"/>
      <c r="E9" s="1">
        <v>0</v>
      </c>
      <c r="F9" s="1">
        <v>0</v>
      </c>
      <c r="G9" s="1">
        <v>0</v>
      </c>
      <c r="H9" s="1">
        <v>0</v>
      </c>
      <c r="I9" s="1">
        <v>0</v>
      </c>
      <c r="J9" s="2"/>
      <c r="K9" s="2"/>
      <c r="L9" s="1">
        <v>0</v>
      </c>
      <c r="M9" s="1">
        <v>0</v>
      </c>
      <c r="N9" s="1">
        <v>0</v>
      </c>
      <c r="O9" s="1">
        <v>7</v>
      </c>
      <c r="P9" s="1">
        <v>0</v>
      </c>
      <c r="Q9" s="2"/>
      <c r="R9" s="2"/>
      <c r="S9" s="1">
        <v>0</v>
      </c>
      <c r="T9" s="2"/>
      <c r="U9" s="1">
        <v>0</v>
      </c>
      <c r="V9" s="1">
        <v>0</v>
      </c>
      <c r="W9" s="1">
        <v>0</v>
      </c>
      <c r="X9" s="2"/>
      <c r="Y9" s="2"/>
      <c r="Z9" s="1">
        <v>0</v>
      </c>
      <c r="AA9" s="1">
        <v>0</v>
      </c>
      <c r="AB9" s="1">
        <v>4</v>
      </c>
      <c r="AC9" s="1">
        <v>6</v>
      </c>
      <c r="AD9" s="1">
        <v>0</v>
      </c>
      <c r="AE9" s="2"/>
      <c r="AF9" s="2"/>
      <c r="AG9" s="1">
        <v>0</v>
      </c>
      <c r="AH9" s="1"/>
    </row>
    <row r="10" spans="1:34">
      <c r="A10" s="1">
        <v>8</v>
      </c>
      <c r="B10" s="1" t="s">
        <v>10</v>
      </c>
      <c r="C10" s="1">
        <f t="shared" si="0"/>
        <v>0</v>
      </c>
      <c r="D10" s="2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/>
      <c r="K10" s="2"/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/>
      <c r="R10" s="2"/>
      <c r="S10" s="1">
        <v>0</v>
      </c>
      <c r="T10" s="2"/>
      <c r="U10" s="1">
        <v>0</v>
      </c>
      <c r="V10" s="1">
        <v>0</v>
      </c>
      <c r="W10" s="1">
        <v>0</v>
      </c>
      <c r="X10" s="2"/>
      <c r="Y10" s="2"/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2"/>
      <c r="AF10" s="2"/>
      <c r="AG10" s="1">
        <v>0</v>
      </c>
      <c r="AH10" s="1"/>
    </row>
    <row r="11" spans="1:34">
      <c r="A11" s="1">
        <v>9</v>
      </c>
      <c r="B11" s="1" t="s">
        <v>11</v>
      </c>
      <c r="C11" s="1">
        <f t="shared" si="0"/>
        <v>3</v>
      </c>
      <c r="D11" s="2"/>
      <c r="E11" s="1">
        <v>0</v>
      </c>
      <c r="F11" s="1">
        <v>2</v>
      </c>
      <c r="G11" s="1">
        <v>0</v>
      </c>
      <c r="H11" s="1">
        <v>0</v>
      </c>
      <c r="I11" s="1">
        <v>0</v>
      </c>
      <c r="J11" s="2"/>
      <c r="K11" s="2"/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/>
      <c r="R11" s="2"/>
      <c r="S11" s="1">
        <v>0</v>
      </c>
      <c r="T11" s="2"/>
      <c r="U11" s="1">
        <v>0</v>
      </c>
      <c r="V11" s="1">
        <v>0</v>
      </c>
      <c r="W11" s="1">
        <v>0</v>
      </c>
      <c r="X11" s="2"/>
      <c r="Y11" s="2"/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2"/>
      <c r="AF11" s="2"/>
      <c r="AG11" s="1">
        <v>0</v>
      </c>
      <c r="AH11" s="1"/>
    </row>
    <row r="12" spans="1:34">
      <c r="A12" s="1">
        <v>10</v>
      </c>
      <c r="B12" s="1" t="s">
        <v>12</v>
      </c>
      <c r="C12" s="1">
        <f t="shared" si="0"/>
        <v>4</v>
      </c>
      <c r="D12" s="2">
        <v>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/>
      <c r="K12" s="2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"/>
      <c r="R12" s="2"/>
      <c r="S12" s="1">
        <v>0</v>
      </c>
      <c r="T12" s="2"/>
      <c r="U12" s="1">
        <v>0</v>
      </c>
      <c r="V12" s="1">
        <v>0</v>
      </c>
      <c r="W12" s="1">
        <v>0</v>
      </c>
      <c r="X12" s="2"/>
      <c r="Y12" s="2"/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2"/>
      <c r="AF12" s="2"/>
      <c r="AG12" s="1">
        <v>0</v>
      </c>
      <c r="AH12" s="1"/>
    </row>
    <row r="13" spans="1:34">
      <c r="A13" s="1">
        <v>11</v>
      </c>
      <c r="B13" s="1" t="s">
        <v>13</v>
      </c>
      <c r="C13" s="1">
        <f t="shared" si="0"/>
        <v>0</v>
      </c>
      <c r="D13" s="2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/>
      <c r="K13" s="2"/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/>
      <c r="R13" s="2"/>
      <c r="S13" s="1">
        <v>0</v>
      </c>
      <c r="T13" s="2"/>
      <c r="U13" s="1">
        <v>0</v>
      </c>
      <c r="V13" s="1">
        <v>0</v>
      </c>
      <c r="W13" s="1">
        <v>0</v>
      </c>
      <c r="X13" s="2"/>
      <c r="Y13" s="2"/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2"/>
      <c r="AF13" s="2"/>
      <c r="AG13" s="1">
        <v>0</v>
      </c>
      <c r="AH13" s="1"/>
    </row>
    <row r="14" spans="1:34">
      <c r="A14" s="1">
        <v>12</v>
      </c>
      <c r="B14" s="1" t="s">
        <v>14</v>
      </c>
      <c r="C14" s="1">
        <f t="shared" si="0"/>
        <v>0</v>
      </c>
      <c r="D14" s="2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/>
      <c r="K14" s="2"/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2"/>
      <c r="R14" s="2"/>
      <c r="S14" s="1">
        <v>0</v>
      </c>
      <c r="T14" s="2"/>
      <c r="U14" s="1">
        <v>0</v>
      </c>
      <c r="V14" s="1">
        <v>0</v>
      </c>
      <c r="W14" s="1">
        <v>0</v>
      </c>
      <c r="X14" s="2"/>
      <c r="Y14" s="2"/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"/>
      <c r="AF14" s="2"/>
      <c r="AG14" s="1">
        <v>0</v>
      </c>
      <c r="AH14" s="1"/>
    </row>
    <row r="15" spans="1:34" ht="16.25" hidden="1" customHeight="1">
      <c r="A15" s="1">
        <v>13</v>
      </c>
      <c r="B15" s="1" t="s">
        <v>15</v>
      </c>
      <c r="C15" s="1">
        <f t="shared" si="0"/>
        <v>0</v>
      </c>
      <c r="D15" s="2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/>
      <c r="K15" s="2"/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/>
      <c r="R15" s="2"/>
      <c r="S15" s="1">
        <v>0</v>
      </c>
      <c r="T15" s="2"/>
      <c r="U15" s="1">
        <v>0</v>
      </c>
      <c r="V15" s="1">
        <v>0</v>
      </c>
      <c r="W15" s="1">
        <v>0</v>
      </c>
      <c r="X15" s="2"/>
      <c r="Y15" s="2"/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/>
      <c r="AF15" s="2"/>
      <c r="AG15" s="1">
        <v>0</v>
      </c>
      <c r="AH15" s="1"/>
    </row>
    <row r="16" spans="1:34">
      <c r="A16" s="1">
        <v>13</v>
      </c>
      <c r="B16" s="1" t="s">
        <v>16</v>
      </c>
      <c r="C16" s="1">
        <f t="shared" si="0"/>
        <v>33</v>
      </c>
      <c r="D16" s="2"/>
      <c r="E16" s="1">
        <v>0</v>
      </c>
      <c r="F16" s="1">
        <v>0</v>
      </c>
      <c r="G16" s="1">
        <v>9</v>
      </c>
      <c r="H16" s="1">
        <v>0</v>
      </c>
      <c r="I16" s="1">
        <v>0</v>
      </c>
      <c r="J16" s="2"/>
      <c r="K16" s="2"/>
      <c r="L16" s="1">
        <v>0</v>
      </c>
      <c r="M16" s="1">
        <v>0</v>
      </c>
      <c r="N16" s="1">
        <v>0</v>
      </c>
      <c r="O16" s="1">
        <v>6</v>
      </c>
      <c r="P16" s="1">
        <v>9</v>
      </c>
      <c r="Q16" s="2"/>
      <c r="R16" s="2"/>
      <c r="S16" s="1">
        <v>0</v>
      </c>
      <c r="T16" s="2"/>
      <c r="U16" s="1">
        <v>5</v>
      </c>
      <c r="V16" s="1">
        <v>4</v>
      </c>
      <c r="W16" s="1">
        <v>0</v>
      </c>
      <c r="X16" s="2"/>
      <c r="Y16" s="2"/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2"/>
      <c r="AF16" s="2"/>
      <c r="AG16" s="1">
        <v>0</v>
      </c>
      <c r="AH16" s="1"/>
    </row>
    <row r="17" spans="1:34">
      <c r="A17" s="1">
        <v>14</v>
      </c>
      <c r="B17" s="1" t="s">
        <v>271</v>
      </c>
      <c r="C17" s="1">
        <f t="shared" si="0"/>
        <v>0</v>
      </c>
      <c r="D17" s="2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"/>
      <c r="K17" s="2"/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2"/>
      <c r="R17" s="2"/>
      <c r="S17" s="1">
        <v>0</v>
      </c>
      <c r="T17" s="18"/>
      <c r="U17" s="1">
        <v>0</v>
      </c>
      <c r="V17" s="1">
        <v>0</v>
      </c>
      <c r="W17" s="1">
        <v>0</v>
      </c>
      <c r="X17" s="2"/>
      <c r="Y17" s="2"/>
      <c r="Z17" s="1">
        <v>0</v>
      </c>
      <c r="AA17" s="1">
        <v>0</v>
      </c>
      <c r="AB17" s="1">
        <v>0</v>
      </c>
      <c r="AC17" s="1">
        <v>0</v>
      </c>
      <c r="AD17" s="1"/>
      <c r="AE17" s="2"/>
      <c r="AF17" s="2"/>
      <c r="AG17" s="1">
        <v>0</v>
      </c>
      <c r="AH17" s="17"/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"/>
  <sheetViews>
    <sheetView zoomScaleNormal="100" workbookViewId="0">
      <selection activeCell="AF3" sqref="AF3:AF18"/>
    </sheetView>
  </sheetViews>
  <sheetFormatPr baseColWidth="10" defaultColWidth="8.83203125" defaultRowHeight="15"/>
  <cols>
    <col min="3" max="31" width="8.83203125" hidden="1" customWidth="1"/>
    <col min="32" max="33" width="8.83203125" customWidth="1"/>
  </cols>
  <sheetData>
    <row r="1" spans="1:33" ht="27">
      <c r="A1" s="55" t="s">
        <v>0</v>
      </c>
      <c r="B1" s="55"/>
      <c r="C1" s="53">
        <v>45566</v>
      </c>
      <c r="D1" s="53">
        <v>45567</v>
      </c>
      <c r="E1" s="53">
        <v>45568</v>
      </c>
      <c r="F1" s="53">
        <v>45569</v>
      </c>
      <c r="G1" s="53">
        <v>45570</v>
      </c>
      <c r="H1" s="53">
        <v>45571</v>
      </c>
      <c r="I1" s="53">
        <v>45572</v>
      </c>
      <c r="J1" s="53">
        <v>45573</v>
      </c>
      <c r="K1" s="53">
        <v>45574</v>
      </c>
      <c r="L1" s="53">
        <v>45575</v>
      </c>
      <c r="M1" s="53">
        <v>45576</v>
      </c>
      <c r="N1" s="53">
        <v>45577</v>
      </c>
      <c r="O1" s="53">
        <v>45578</v>
      </c>
      <c r="P1" s="53">
        <v>45579</v>
      </c>
      <c r="Q1" s="53">
        <v>45580</v>
      </c>
      <c r="R1" s="53">
        <v>45581</v>
      </c>
      <c r="S1" s="53">
        <v>45582</v>
      </c>
      <c r="T1" s="53">
        <v>45583</v>
      </c>
      <c r="U1" s="53">
        <v>45584</v>
      </c>
      <c r="V1" s="53">
        <v>45585</v>
      </c>
      <c r="W1" s="53">
        <v>45586</v>
      </c>
      <c r="X1" s="53">
        <v>45587</v>
      </c>
      <c r="Y1" s="53">
        <v>45588</v>
      </c>
      <c r="Z1" s="53">
        <v>45589</v>
      </c>
      <c r="AA1" s="53">
        <v>45590</v>
      </c>
      <c r="AB1" s="53">
        <v>45591</v>
      </c>
      <c r="AC1" s="53">
        <v>45592</v>
      </c>
      <c r="AD1" s="53">
        <v>45593</v>
      </c>
      <c r="AE1" s="53">
        <v>45594</v>
      </c>
      <c r="AF1" s="53">
        <v>45595</v>
      </c>
      <c r="AG1" s="53">
        <v>45596</v>
      </c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1" t="s">
        <v>77</v>
      </c>
      <c r="D3" s="19"/>
      <c r="E3" s="19"/>
      <c r="F3" s="4" t="s">
        <v>292</v>
      </c>
      <c r="G3" s="2"/>
      <c r="H3" s="2"/>
      <c r="I3" s="1" t="s">
        <v>77</v>
      </c>
      <c r="J3" s="1" t="s">
        <v>77</v>
      </c>
      <c r="K3" s="1" t="s">
        <v>77</v>
      </c>
      <c r="L3" s="2"/>
      <c r="M3" s="1" t="s">
        <v>77</v>
      </c>
      <c r="N3" s="2"/>
      <c r="O3" s="2"/>
      <c r="P3" s="1" t="s">
        <v>77</v>
      </c>
      <c r="Q3" s="1" t="s">
        <v>77</v>
      </c>
      <c r="R3" s="1" t="s">
        <v>77</v>
      </c>
      <c r="S3" s="1" t="s">
        <v>77</v>
      </c>
      <c r="T3" s="1" t="s">
        <v>77</v>
      </c>
      <c r="U3" s="2"/>
      <c r="V3" s="2"/>
      <c r="W3" s="1" t="s">
        <v>298</v>
      </c>
      <c r="X3" s="1" t="s">
        <v>77</v>
      </c>
      <c r="Y3" s="1" t="s">
        <v>326</v>
      </c>
      <c r="Z3" s="1" t="s">
        <v>77</v>
      </c>
      <c r="AA3" s="1" t="s">
        <v>77</v>
      </c>
      <c r="AB3" s="2"/>
      <c r="AC3" s="2"/>
      <c r="AD3" s="1" t="s">
        <v>23</v>
      </c>
      <c r="AE3" s="1" t="s">
        <v>77</v>
      </c>
      <c r="AF3" s="1" t="s">
        <v>77</v>
      </c>
      <c r="AG3" s="2"/>
    </row>
    <row r="4" spans="1:33">
      <c r="A4" s="1">
        <v>2</v>
      </c>
      <c r="B4" s="1" t="s">
        <v>4</v>
      </c>
      <c r="C4" s="1" t="s">
        <v>77</v>
      </c>
      <c r="D4" s="19"/>
      <c r="E4" s="19"/>
      <c r="F4" s="1" t="s">
        <v>77</v>
      </c>
      <c r="G4" s="2"/>
      <c r="H4" s="2"/>
      <c r="I4" s="1" t="s">
        <v>77</v>
      </c>
      <c r="J4" s="1" t="s">
        <v>77</v>
      </c>
      <c r="K4" s="1" t="s">
        <v>77</v>
      </c>
      <c r="L4" s="2"/>
      <c r="M4" s="1" t="s">
        <v>23</v>
      </c>
      <c r="N4" s="2"/>
      <c r="O4" s="2"/>
      <c r="P4" s="1" t="s">
        <v>77</v>
      </c>
      <c r="Q4" s="1" t="s">
        <v>77</v>
      </c>
      <c r="R4" s="1" t="s">
        <v>77</v>
      </c>
      <c r="S4" s="1" t="s">
        <v>77</v>
      </c>
      <c r="T4" s="1" t="s">
        <v>77</v>
      </c>
      <c r="U4" s="2"/>
      <c r="V4" s="2"/>
      <c r="W4" s="1" t="s">
        <v>77</v>
      </c>
      <c r="X4" s="1" t="s">
        <v>77</v>
      </c>
      <c r="Y4" s="1" t="s">
        <v>77</v>
      </c>
      <c r="Z4" s="1" t="s">
        <v>77</v>
      </c>
      <c r="AA4" s="1" t="s">
        <v>77</v>
      </c>
      <c r="AB4" s="2"/>
      <c r="AC4" s="2"/>
      <c r="AD4" s="1" t="s">
        <v>77</v>
      </c>
      <c r="AE4" s="1" t="s">
        <v>77</v>
      </c>
      <c r="AF4" s="1" t="s">
        <v>329</v>
      </c>
      <c r="AG4" s="2" t="s">
        <v>328</v>
      </c>
    </row>
    <row r="5" spans="1:33">
      <c r="A5" s="1">
        <v>3</v>
      </c>
      <c r="B5" s="1" t="s">
        <v>5</v>
      </c>
      <c r="C5" s="1" t="s">
        <v>77</v>
      </c>
      <c r="D5" s="19"/>
      <c r="E5" s="19"/>
      <c r="F5" s="1" t="s">
        <v>77</v>
      </c>
      <c r="G5" s="2"/>
      <c r="H5" s="2"/>
      <c r="I5" s="1" t="s">
        <v>77</v>
      </c>
      <c r="J5" s="1" t="s">
        <v>23</v>
      </c>
      <c r="K5" s="1" t="s">
        <v>77</v>
      </c>
      <c r="L5" s="2"/>
      <c r="M5" s="1" t="s">
        <v>77</v>
      </c>
      <c r="N5" s="2"/>
      <c r="O5" s="2"/>
      <c r="P5" s="1" t="s">
        <v>77</v>
      </c>
      <c r="Q5" s="1" t="s">
        <v>77</v>
      </c>
      <c r="R5" s="1" t="s">
        <v>77</v>
      </c>
      <c r="S5" s="1" t="s">
        <v>77</v>
      </c>
      <c r="T5" s="1" t="s">
        <v>77</v>
      </c>
      <c r="U5" s="2"/>
      <c r="V5" s="2"/>
      <c r="W5" s="1" t="s">
        <v>77</v>
      </c>
      <c r="X5" s="1" t="s">
        <v>77</v>
      </c>
      <c r="Y5" s="1" t="s">
        <v>77</v>
      </c>
      <c r="Z5" s="1" t="s">
        <v>77</v>
      </c>
      <c r="AA5" s="1" t="s">
        <v>77</v>
      </c>
      <c r="AB5" s="2"/>
      <c r="AC5" s="2"/>
      <c r="AD5" s="1" t="s">
        <v>77</v>
      </c>
      <c r="AE5" s="1" t="s">
        <v>77</v>
      </c>
      <c r="AF5" s="1" t="s">
        <v>77</v>
      </c>
      <c r="AG5" s="2"/>
    </row>
    <row r="6" spans="1:33">
      <c r="A6" s="1">
        <v>4</v>
      </c>
      <c r="B6" s="1" t="s">
        <v>6</v>
      </c>
      <c r="C6" s="1" t="s">
        <v>77</v>
      </c>
      <c r="D6" s="19"/>
      <c r="E6" s="19"/>
      <c r="F6" s="1" t="s">
        <v>77</v>
      </c>
      <c r="G6" s="2"/>
      <c r="H6" s="2"/>
      <c r="I6" s="1" t="s">
        <v>77</v>
      </c>
      <c r="J6" s="1" t="s">
        <v>77</v>
      </c>
      <c r="K6" s="1" t="s">
        <v>77</v>
      </c>
      <c r="L6" s="2"/>
      <c r="M6" s="1" t="s">
        <v>77</v>
      </c>
      <c r="N6" s="2"/>
      <c r="O6" s="2"/>
      <c r="P6" s="1" t="s">
        <v>77</v>
      </c>
      <c r="Q6" s="1" t="s">
        <v>299</v>
      </c>
      <c r="R6" s="1" t="s">
        <v>77</v>
      </c>
      <c r="S6" s="1" t="s">
        <v>77</v>
      </c>
      <c r="T6" s="1" t="s">
        <v>77</v>
      </c>
      <c r="U6" s="2"/>
      <c r="V6" s="2"/>
      <c r="W6" s="1" t="s">
        <v>299</v>
      </c>
      <c r="X6" s="1" t="s">
        <v>77</v>
      </c>
      <c r="Y6" s="1" t="s">
        <v>77</v>
      </c>
      <c r="Z6" s="1" t="s">
        <v>77</v>
      </c>
      <c r="AA6" s="1" t="s">
        <v>77</v>
      </c>
      <c r="AB6" s="2"/>
      <c r="AC6" s="2"/>
      <c r="AD6" s="1" t="s">
        <v>77</v>
      </c>
      <c r="AE6" s="1" t="s">
        <v>77</v>
      </c>
      <c r="AF6" s="1" t="s">
        <v>77</v>
      </c>
      <c r="AG6" s="2"/>
    </row>
    <row r="7" spans="1:33">
      <c r="A7" s="1">
        <v>5</v>
      </c>
      <c r="B7" s="1" t="s">
        <v>7</v>
      </c>
      <c r="C7" s="1" t="s">
        <v>77</v>
      </c>
      <c r="D7" s="19"/>
      <c r="E7" s="19"/>
      <c r="F7" s="1" t="s">
        <v>77</v>
      </c>
      <c r="G7" s="2"/>
      <c r="H7" s="2"/>
      <c r="I7" s="1" t="s">
        <v>77</v>
      </c>
      <c r="J7" s="1" t="s">
        <v>77</v>
      </c>
      <c r="K7" s="1" t="s">
        <v>77</v>
      </c>
      <c r="L7" s="2"/>
      <c r="M7" s="1" t="s">
        <v>23</v>
      </c>
      <c r="N7" s="2"/>
      <c r="O7" s="2"/>
      <c r="P7" s="1" t="s">
        <v>77</v>
      </c>
      <c r="Q7" s="1" t="s">
        <v>77</v>
      </c>
      <c r="R7" s="1" t="s">
        <v>77</v>
      </c>
      <c r="S7" s="1" t="s">
        <v>77</v>
      </c>
      <c r="T7" s="1" t="s">
        <v>77</v>
      </c>
      <c r="U7" s="2"/>
      <c r="V7" s="2"/>
      <c r="W7" s="1" t="s">
        <v>77</v>
      </c>
      <c r="X7" s="1" t="s">
        <v>77</v>
      </c>
      <c r="Y7" s="1" t="s">
        <v>77</v>
      </c>
      <c r="Z7" s="1" t="s">
        <v>77</v>
      </c>
      <c r="AA7" s="1" t="s">
        <v>77</v>
      </c>
      <c r="AB7" s="2"/>
      <c r="AC7" s="2"/>
      <c r="AD7" s="24" t="s">
        <v>327</v>
      </c>
      <c r="AE7" s="24" t="s">
        <v>327</v>
      </c>
      <c r="AF7" s="24" t="s">
        <v>327</v>
      </c>
      <c r="AG7" s="26" t="s">
        <v>327</v>
      </c>
    </row>
    <row r="8" spans="1:33">
      <c r="A8" s="1">
        <v>6</v>
      </c>
      <c r="B8" s="1" t="s">
        <v>8</v>
      </c>
      <c r="C8" s="1" t="s">
        <v>77</v>
      </c>
      <c r="D8" s="19"/>
      <c r="E8" s="19"/>
      <c r="F8" s="1" t="s">
        <v>295</v>
      </c>
      <c r="G8" s="2"/>
      <c r="H8" s="2"/>
      <c r="I8" s="1" t="s">
        <v>297</v>
      </c>
      <c r="J8" s="1" t="s">
        <v>77</v>
      </c>
      <c r="K8" s="1" t="s">
        <v>77</v>
      </c>
      <c r="L8" s="2"/>
      <c r="M8" s="1" t="s">
        <v>77</v>
      </c>
      <c r="N8" s="2"/>
      <c r="O8" s="2"/>
      <c r="P8" s="1" t="s">
        <v>23</v>
      </c>
      <c r="Q8" s="1" t="s">
        <v>77</v>
      </c>
      <c r="R8" s="1" t="s">
        <v>77</v>
      </c>
      <c r="S8" s="1" t="s">
        <v>77</v>
      </c>
      <c r="T8" s="1" t="s">
        <v>77</v>
      </c>
      <c r="U8" s="2"/>
      <c r="V8" s="2"/>
      <c r="W8" s="1" t="s">
        <v>77</v>
      </c>
      <c r="X8" s="1" t="s">
        <v>77</v>
      </c>
      <c r="Y8" s="1" t="s">
        <v>77</v>
      </c>
      <c r="Z8" s="1" t="s">
        <v>77</v>
      </c>
      <c r="AA8" s="1" t="s">
        <v>77</v>
      </c>
      <c r="AB8" s="2"/>
      <c r="AC8" s="2"/>
      <c r="AD8" s="1" t="s">
        <v>77</v>
      </c>
      <c r="AE8" s="1" t="s">
        <v>23</v>
      </c>
      <c r="AF8" s="1" t="s">
        <v>77</v>
      </c>
      <c r="AG8" s="2"/>
    </row>
    <row r="9" spans="1:33">
      <c r="A9" s="1">
        <v>7</v>
      </c>
      <c r="B9" s="1" t="s">
        <v>9</v>
      </c>
      <c r="C9" s="1" t="s">
        <v>77</v>
      </c>
      <c r="D9" s="19"/>
      <c r="E9" s="19"/>
      <c r="F9" s="4" t="s">
        <v>294</v>
      </c>
      <c r="G9" s="2"/>
      <c r="H9" s="2"/>
      <c r="I9" s="1" t="s">
        <v>296</v>
      </c>
      <c r="J9" s="1" t="s">
        <v>145</v>
      </c>
      <c r="K9" s="1" t="s">
        <v>145</v>
      </c>
      <c r="L9" s="2"/>
      <c r="M9" s="1" t="s">
        <v>77</v>
      </c>
      <c r="N9" s="2"/>
      <c r="O9" s="2"/>
      <c r="P9" s="1" t="s">
        <v>77</v>
      </c>
      <c r="Q9" s="1" t="s">
        <v>77</v>
      </c>
      <c r="R9" s="1" t="s">
        <v>77</v>
      </c>
      <c r="S9" s="1" t="s">
        <v>77</v>
      </c>
      <c r="T9" s="1" t="s">
        <v>77</v>
      </c>
      <c r="U9" s="2"/>
      <c r="V9" s="2"/>
      <c r="W9" s="1" t="s">
        <v>77</v>
      </c>
      <c r="X9" s="1" t="s">
        <v>77</v>
      </c>
      <c r="Y9" s="1" t="s">
        <v>77</v>
      </c>
      <c r="Z9" s="1" t="s">
        <v>77</v>
      </c>
      <c r="AA9" s="1" t="s">
        <v>77</v>
      </c>
      <c r="AB9" s="2"/>
      <c r="AC9" s="2"/>
      <c r="AD9" s="1" t="s">
        <v>77</v>
      </c>
      <c r="AE9" s="1" t="s">
        <v>77</v>
      </c>
      <c r="AF9" s="1" t="s">
        <v>77</v>
      </c>
      <c r="AG9" s="2"/>
    </row>
    <row r="10" spans="1:33">
      <c r="A10" s="1">
        <v>8</v>
      </c>
      <c r="B10" s="1" t="s">
        <v>10</v>
      </c>
      <c r="C10" s="1" t="s">
        <v>77</v>
      </c>
      <c r="D10" s="19"/>
      <c r="E10" s="19"/>
      <c r="F10" s="1" t="s">
        <v>293</v>
      </c>
      <c r="G10" s="2"/>
      <c r="H10" s="2"/>
      <c r="I10" s="1" t="s">
        <v>293</v>
      </c>
      <c r="J10" s="1" t="s">
        <v>293</v>
      </c>
      <c r="K10" s="1" t="s">
        <v>293</v>
      </c>
      <c r="L10" s="2"/>
      <c r="M10" s="1" t="s">
        <v>77</v>
      </c>
      <c r="N10" s="2"/>
      <c r="O10" s="2"/>
      <c r="P10" s="1" t="s">
        <v>77</v>
      </c>
      <c r="Q10" s="1" t="s">
        <v>77</v>
      </c>
      <c r="R10" s="1" t="s">
        <v>77</v>
      </c>
      <c r="S10" s="1" t="s">
        <v>77</v>
      </c>
      <c r="T10" s="1" t="s">
        <v>77</v>
      </c>
      <c r="U10" s="2"/>
      <c r="V10" s="2"/>
      <c r="W10" s="1" t="s">
        <v>303</v>
      </c>
      <c r="X10" s="1" t="s">
        <v>77</v>
      </c>
      <c r="Y10" s="1" t="s">
        <v>77</v>
      </c>
      <c r="Z10" s="1" t="s">
        <v>77</v>
      </c>
      <c r="AA10" s="1" t="s">
        <v>77</v>
      </c>
      <c r="AB10" s="2"/>
      <c r="AC10" s="2"/>
      <c r="AD10" s="1" t="s">
        <v>77</v>
      </c>
      <c r="AE10" s="25" t="s">
        <v>329</v>
      </c>
      <c r="AF10" s="1" t="s">
        <v>77</v>
      </c>
      <c r="AG10" s="2"/>
    </row>
    <row r="11" spans="1:33">
      <c r="A11" s="1">
        <v>9</v>
      </c>
      <c r="B11" s="1" t="s">
        <v>11</v>
      </c>
      <c r="C11" s="1" t="s">
        <v>77</v>
      </c>
      <c r="D11" s="19"/>
      <c r="E11" s="19"/>
      <c r="F11" s="1" t="s">
        <v>77</v>
      </c>
      <c r="G11" s="2"/>
      <c r="H11" s="2"/>
      <c r="I11" s="1" t="s">
        <v>77</v>
      </c>
      <c r="J11" s="1" t="s">
        <v>77</v>
      </c>
      <c r="K11" s="1" t="s">
        <v>77</v>
      </c>
      <c r="L11" s="2"/>
      <c r="M11" s="1" t="s">
        <v>23</v>
      </c>
      <c r="N11" s="2"/>
      <c r="O11" s="2"/>
      <c r="P11" s="1" t="s">
        <v>77</v>
      </c>
      <c r="Q11" s="1" t="s">
        <v>77</v>
      </c>
      <c r="R11" s="1" t="s">
        <v>77</v>
      </c>
      <c r="S11" s="1" t="s">
        <v>77</v>
      </c>
      <c r="T11" s="1" t="s">
        <v>77</v>
      </c>
      <c r="U11" s="2"/>
      <c r="V11" s="2"/>
      <c r="W11" s="1" t="s">
        <v>77</v>
      </c>
      <c r="X11" s="1" t="s">
        <v>77</v>
      </c>
      <c r="Y11" s="1" t="s">
        <v>77</v>
      </c>
      <c r="Z11" s="1" t="s">
        <v>77</v>
      </c>
      <c r="AA11" s="1" t="s">
        <v>77</v>
      </c>
      <c r="AB11" s="2"/>
      <c r="AC11" s="2"/>
      <c r="AD11" s="1" t="s">
        <v>77</v>
      </c>
      <c r="AE11" s="1" t="s">
        <v>23</v>
      </c>
      <c r="AF11" s="1" t="s">
        <v>77</v>
      </c>
      <c r="AG11" s="2"/>
    </row>
    <row r="12" spans="1:33">
      <c r="A12" s="1">
        <v>10</v>
      </c>
      <c r="B12" s="1" t="s">
        <v>12</v>
      </c>
      <c r="C12" s="1" t="s">
        <v>77</v>
      </c>
      <c r="D12" s="19"/>
      <c r="E12" s="19"/>
      <c r="F12" s="1" t="s">
        <v>77</v>
      </c>
      <c r="G12" s="2"/>
      <c r="H12" s="2"/>
      <c r="I12" s="1" t="s">
        <v>77</v>
      </c>
      <c r="J12" s="1" t="s">
        <v>23</v>
      </c>
      <c r="K12" s="1" t="s">
        <v>77</v>
      </c>
      <c r="L12" s="2"/>
      <c r="M12" s="1" t="s">
        <v>77</v>
      </c>
      <c r="N12" s="2"/>
      <c r="O12" s="2"/>
      <c r="P12" s="1" t="s">
        <v>77</v>
      </c>
      <c r="Q12" s="1" t="s">
        <v>77</v>
      </c>
      <c r="R12" s="1" t="s">
        <v>77</v>
      </c>
      <c r="S12" s="1" t="s">
        <v>77</v>
      </c>
      <c r="T12" s="1" t="s">
        <v>77</v>
      </c>
      <c r="U12" s="2"/>
      <c r="V12" s="2"/>
      <c r="W12" s="1" t="s">
        <v>77</v>
      </c>
      <c r="X12" s="1" t="s">
        <v>77</v>
      </c>
      <c r="Y12" s="1" t="s">
        <v>77</v>
      </c>
      <c r="Z12" s="1" t="s">
        <v>77</v>
      </c>
      <c r="AA12" s="1" t="s">
        <v>77</v>
      </c>
      <c r="AB12" s="2"/>
      <c r="AC12" s="2"/>
      <c r="AD12" s="1" t="s">
        <v>77</v>
      </c>
      <c r="AE12" s="1" t="s">
        <v>77</v>
      </c>
      <c r="AF12" s="1" t="s">
        <v>77</v>
      </c>
      <c r="AG12" s="2"/>
    </row>
    <row r="13" spans="1:33">
      <c r="A13" s="1">
        <v>11</v>
      </c>
      <c r="B13" s="1" t="s">
        <v>13</v>
      </c>
      <c r="C13" s="1" t="s">
        <v>77</v>
      </c>
      <c r="D13" s="19"/>
      <c r="E13" s="19"/>
      <c r="F13" s="1" t="s">
        <v>77</v>
      </c>
      <c r="G13" s="2"/>
      <c r="H13" s="2"/>
      <c r="I13" s="1" t="s">
        <v>77</v>
      </c>
      <c r="J13" s="1" t="s">
        <v>77</v>
      </c>
      <c r="K13" s="1" t="s">
        <v>77</v>
      </c>
      <c r="L13" s="2"/>
      <c r="M13" s="1" t="s">
        <v>298</v>
      </c>
      <c r="N13" s="2"/>
      <c r="O13" s="2"/>
      <c r="P13" s="1" t="s">
        <v>77</v>
      </c>
      <c r="Q13" s="1" t="s">
        <v>77</v>
      </c>
      <c r="R13" s="1" t="s">
        <v>77</v>
      </c>
      <c r="S13" s="1" t="s">
        <v>77</v>
      </c>
      <c r="T13" s="4" t="s">
        <v>302</v>
      </c>
      <c r="U13" s="2"/>
      <c r="V13" s="2"/>
      <c r="W13" s="1" t="s">
        <v>77</v>
      </c>
      <c r="X13" s="1" t="s">
        <v>77</v>
      </c>
      <c r="Y13" s="1" t="s">
        <v>77</v>
      </c>
      <c r="Z13" s="1" t="s">
        <v>77</v>
      </c>
      <c r="AA13" s="1" t="s">
        <v>77</v>
      </c>
      <c r="AB13" s="2"/>
      <c r="AC13" s="2"/>
      <c r="AD13" s="1" t="s">
        <v>77</v>
      </c>
      <c r="AE13" s="1" t="s">
        <v>77</v>
      </c>
      <c r="AF13" s="1" t="s">
        <v>77</v>
      </c>
      <c r="AG13" s="2"/>
    </row>
    <row r="14" spans="1:33">
      <c r="A14" s="1">
        <v>12</v>
      </c>
      <c r="B14" s="1" t="s">
        <v>14</v>
      </c>
      <c r="C14" s="1" t="s">
        <v>77</v>
      </c>
      <c r="D14" s="19"/>
      <c r="E14" s="19"/>
      <c r="F14" s="1" t="s">
        <v>77</v>
      </c>
      <c r="G14" s="2"/>
      <c r="H14" s="2"/>
      <c r="I14" s="1" t="s">
        <v>77</v>
      </c>
      <c r="J14" s="1" t="s">
        <v>77</v>
      </c>
      <c r="K14" s="1" t="s">
        <v>77</v>
      </c>
      <c r="L14" s="2"/>
      <c r="M14" s="1" t="s">
        <v>77</v>
      </c>
      <c r="N14" s="2"/>
      <c r="O14" s="2"/>
      <c r="P14" s="1" t="s">
        <v>77</v>
      </c>
      <c r="Q14" s="1" t="s">
        <v>77</v>
      </c>
      <c r="R14" s="1" t="s">
        <v>77</v>
      </c>
      <c r="S14" s="1" t="s">
        <v>77</v>
      </c>
      <c r="T14" s="1" t="s">
        <v>77</v>
      </c>
      <c r="U14" s="2"/>
      <c r="V14" s="2"/>
      <c r="W14" s="1" t="s">
        <v>77</v>
      </c>
      <c r="X14" s="1" t="s">
        <v>77</v>
      </c>
      <c r="Y14" s="1" t="s">
        <v>77</v>
      </c>
      <c r="Z14" s="1" t="s">
        <v>77</v>
      </c>
      <c r="AA14" s="1" t="s">
        <v>77</v>
      </c>
      <c r="AB14" s="2"/>
      <c r="AC14" s="2"/>
      <c r="AD14" s="1" t="s">
        <v>77</v>
      </c>
      <c r="AE14" s="1" t="s">
        <v>77</v>
      </c>
      <c r="AF14" s="1" t="s">
        <v>77</v>
      </c>
      <c r="AG14" s="2"/>
    </row>
    <row r="15" spans="1:33" ht="16.25" hidden="1" customHeight="1">
      <c r="A15" s="1">
        <v>13</v>
      </c>
      <c r="B15" s="1" t="s">
        <v>15</v>
      </c>
      <c r="C15" s="1" t="s">
        <v>77</v>
      </c>
      <c r="D15" s="19"/>
      <c r="E15" s="19"/>
      <c r="F15" s="1" t="s">
        <v>77</v>
      </c>
      <c r="G15" s="2"/>
      <c r="H15" s="2"/>
      <c r="I15" s="1" t="s">
        <v>77</v>
      </c>
      <c r="J15" s="1" t="s">
        <v>77</v>
      </c>
      <c r="K15" s="1" t="s">
        <v>77</v>
      </c>
      <c r="L15" s="2"/>
      <c r="M15" s="1" t="s">
        <v>77</v>
      </c>
      <c r="N15" s="2"/>
      <c r="O15" s="2"/>
      <c r="P15" s="1" t="s">
        <v>77</v>
      </c>
      <c r="Q15" s="1" t="s">
        <v>77</v>
      </c>
      <c r="R15" s="1" t="s">
        <v>77</v>
      </c>
      <c r="S15" s="1" t="s">
        <v>77</v>
      </c>
      <c r="T15" s="1" t="s">
        <v>77</v>
      </c>
      <c r="U15" s="2"/>
      <c r="V15" s="2"/>
      <c r="W15" s="1" t="s">
        <v>77</v>
      </c>
      <c r="X15" s="1" t="s">
        <v>77</v>
      </c>
      <c r="Y15" s="1" t="s">
        <v>77</v>
      </c>
      <c r="Z15" s="1" t="s">
        <v>77</v>
      </c>
      <c r="AA15" s="1" t="s">
        <v>77</v>
      </c>
      <c r="AB15" s="2"/>
      <c r="AC15" s="2"/>
      <c r="AD15" s="1" t="s">
        <v>77</v>
      </c>
      <c r="AE15" s="1" t="s">
        <v>77</v>
      </c>
      <c r="AF15" s="1" t="s">
        <v>77</v>
      </c>
      <c r="AG15" s="2"/>
    </row>
    <row r="16" spans="1:33" ht="18">
      <c r="A16" s="1">
        <v>13</v>
      </c>
      <c r="B16" s="1" t="s">
        <v>16</v>
      </c>
      <c r="C16" s="1" t="s">
        <v>77</v>
      </c>
      <c r="D16" s="19"/>
      <c r="E16" s="19"/>
      <c r="F16" s="4" t="s">
        <v>292</v>
      </c>
      <c r="G16" s="2"/>
      <c r="H16" s="2"/>
      <c r="I16" s="1" t="s">
        <v>77</v>
      </c>
      <c r="J16" s="1" t="s">
        <v>77</v>
      </c>
      <c r="K16" s="1" t="s">
        <v>77</v>
      </c>
      <c r="L16" s="2"/>
      <c r="M16" s="1" t="s">
        <v>77</v>
      </c>
      <c r="N16" s="2"/>
      <c r="O16" s="2"/>
      <c r="P16" s="1" t="s">
        <v>77</v>
      </c>
      <c r="Q16" s="1" t="s">
        <v>77</v>
      </c>
      <c r="R16" s="8" t="s">
        <v>41</v>
      </c>
      <c r="S16" s="1" t="s">
        <v>77</v>
      </c>
      <c r="T16" s="1" t="s">
        <v>77</v>
      </c>
      <c r="U16" s="2"/>
      <c r="V16" s="2"/>
      <c r="W16" s="1" t="s">
        <v>77</v>
      </c>
      <c r="X16" s="8" t="s">
        <v>41</v>
      </c>
      <c r="Y16" s="1" t="s">
        <v>77</v>
      </c>
      <c r="Z16" s="1" t="s">
        <v>77</v>
      </c>
      <c r="AA16" s="22" t="s">
        <v>41</v>
      </c>
      <c r="AB16" s="2"/>
      <c r="AC16" s="2"/>
      <c r="AD16" s="1" t="s">
        <v>77</v>
      </c>
      <c r="AE16" s="23" t="s">
        <v>330</v>
      </c>
      <c r="AF16" s="1" t="s">
        <v>77</v>
      </c>
      <c r="AG16" s="2"/>
    </row>
    <row r="17" spans="1:33">
      <c r="A17" s="1">
        <v>14</v>
      </c>
      <c r="B17" s="1" t="s">
        <v>271</v>
      </c>
      <c r="C17" s="1" t="s">
        <v>77</v>
      </c>
      <c r="D17" s="19"/>
      <c r="E17" s="19"/>
      <c r="F17" s="1" t="s">
        <v>77</v>
      </c>
      <c r="G17" s="2"/>
      <c r="H17" s="2"/>
      <c r="I17" s="1" t="s">
        <v>77</v>
      </c>
      <c r="J17" s="1" t="s">
        <v>77</v>
      </c>
      <c r="K17" s="1" t="s">
        <v>77</v>
      </c>
      <c r="L17" s="2"/>
      <c r="M17" s="1" t="s">
        <v>77</v>
      </c>
      <c r="N17" s="2"/>
      <c r="O17" s="2"/>
      <c r="P17" s="1" t="s">
        <v>77</v>
      </c>
      <c r="Q17" s="1" t="s">
        <v>300</v>
      </c>
      <c r="R17" s="1" t="s">
        <v>77</v>
      </c>
      <c r="S17" s="1" t="s">
        <v>77</v>
      </c>
      <c r="T17" s="1" t="s">
        <v>77</v>
      </c>
      <c r="U17" s="2"/>
      <c r="V17" s="2"/>
      <c r="W17" s="1" t="s">
        <v>77</v>
      </c>
      <c r="X17" s="1" t="s">
        <v>304</v>
      </c>
      <c r="Y17" s="1" t="s">
        <v>77</v>
      </c>
      <c r="Z17" s="1" t="s">
        <v>77</v>
      </c>
      <c r="AA17" s="1" t="s">
        <v>77</v>
      </c>
      <c r="AB17" s="2"/>
      <c r="AC17" s="2"/>
      <c r="AD17" s="24" t="s">
        <v>327</v>
      </c>
      <c r="AE17" s="24" t="s">
        <v>327</v>
      </c>
      <c r="AF17" s="24" t="s">
        <v>327</v>
      </c>
      <c r="AG17" s="26" t="s">
        <v>327</v>
      </c>
    </row>
    <row r="18" spans="1:33">
      <c r="A18" s="1">
        <v>15</v>
      </c>
      <c r="B18" s="1" t="s">
        <v>301</v>
      </c>
      <c r="C18" s="1" t="s">
        <v>77</v>
      </c>
      <c r="D18" s="19"/>
      <c r="E18" s="19"/>
      <c r="F18" s="1" t="s">
        <v>77</v>
      </c>
      <c r="G18" s="2"/>
      <c r="H18" s="2"/>
      <c r="I18" s="1" t="s">
        <v>77</v>
      </c>
      <c r="J18" s="1" t="s">
        <v>77</v>
      </c>
      <c r="K18" s="1" t="s">
        <v>77</v>
      </c>
      <c r="L18" s="2"/>
      <c r="M18" s="1" t="s">
        <v>77</v>
      </c>
      <c r="N18" s="2"/>
      <c r="O18" s="2"/>
      <c r="P18" s="1" t="s">
        <v>77</v>
      </c>
      <c r="Q18" s="1" t="s">
        <v>77</v>
      </c>
      <c r="R18" s="1" t="s">
        <v>77</v>
      </c>
      <c r="S18" s="1" t="s">
        <v>77</v>
      </c>
      <c r="T18" s="1" t="s">
        <v>77</v>
      </c>
      <c r="U18" s="2"/>
      <c r="V18" s="2"/>
      <c r="W18" s="1" t="s">
        <v>77</v>
      </c>
      <c r="X18" s="1" t="s">
        <v>77</v>
      </c>
      <c r="Y18" s="1" t="s">
        <v>77</v>
      </c>
      <c r="Z18" s="1" t="s">
        <v>77</v>
      </c>
      <c r="AA18" s="1" t="s">
        <v>77</v>
      </c>
      <c r="AB18" s="2"/>
      <c r="AC18" s="2"/>
      <c r="AD18" s="24" t="s">
        <v>327</v>
      </c>
      <c r="AE18" s="24" t="s">
        <v>327</v>
      </c>
      <c r="AF18" s="24" t="s">
        <v>327</v>
      </c>
      <c r="AG18" s="26" t="s">
        <v>327</v>
      </c>
    </row>
    <row r="19" spans="1:33">
      <c r="A19" s="5" t="s">
        <v>195</v>
      </c>
      <c r="B19" t="s">
        <v>24</v>
      </c>
    </row>
    <row r="20" spans="1:33">
      <c r="A20" s="4" t="s">
        <v>182</v>
      </c>
      <c r="B20" t="s">
        <v>25</v>
      </c>
    </row>
    <row r="21" spans="1:33">
      <c r="A21" s="8" t="s">
        <v>41</v>
      </c>
      <c r="B21" s="7" t="s">
        <v>40</v>
      </c>
    </row>
    <row r="23" spans="1:33">
      <c r="A23" s="13" t="s">
        <v>169</v>
      </c>
    </row>
    <row r="24" spans="1:33">
      <c r="A24" s="14" t="s">
        <v>170</v>
      </c>
    </row>
    <row r="25" spans="1:33">
      <c r="A25" s="14" t="s">
        <v>171</v>
      </c>
    </row>
    <row r="26" spans="1:33">
      <c r="A26" s="14" t="s">
        <v>167</v>
      </c>
    </row>
    <row r="27" spans="1:33">
      <c r="A27" s="14" t="s">
        <v>172</v>
      </c>
    </row>
    <row r="28" spans="1:33">
      <c r="A28" s="14" t="s">
        <v>173</v>
      </c>
    </row>
    <row r="29" spans="1:33">
      <c r="A29" s="14" t="s">
        <v>168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H18"/>
  <sheetViews>
    <sheetView workbookViewId="0">
      <selection activeCell="L23" sqref="L23"/>
    </sheetView>
  </sheetViews>
  <sheetFormatPr baseColWidth="10" defaultColWidth="8.83203125" defaultRowHeight="15"/>
  <cols>
    <col min="3" max="3" width="15.33203125" customWidth="1"/>
    <col min="4" max="8" width="8.83203125" customWidth="1"/>
    <col min="9" max="9" width="9.1640625" customWidth="1"/>
    <col min="10" max="33" width="8.83203125" customWidth="1"/>
  </cols>
  <sheetData>
    <row r="1" spans="1:34" ht="27">
      <c r="A1" s="57" t="s">
        <v>17</v>
      </c>
      <c r="B1" s="57"/>
      <c r="C1" s="43" t="s">
        <v>291</v>
      </c>
      <c r="D1" s="53">
        <v>45566</v>
      </c>
      <c r="E1" s="53">
        <v>45567</v>
      </c>
      <c r="F1" s="53">
        <v>45568</v>
      </c>
      <c r="G1" s="53">
        <v>45569</v>
      </c>
      <c r="H1" s="53">
        <v>45570</v>
      </c>
      <c r="I1" s="53">
        <v>45571</v>
      </c>
      <c r="J1" s="53">
        <v>45572</v>
      </c>
      <c r="K1" s="53">
        <v>45573</v>
      </c>
      <c r="L1" s="53">
        <v>45574</v>
      </c>
      <c r="M1" s="53">
        <v>45575</v>
      </c>
      <c r="N1" s="53">
        <v>45576</v>
      </c>
      <c r="O1" s="53">
        <v>45577</v>
      </c>
      <c r="P1" s="53">
        <v>45578</v>
      </c>
      <c r="Q1" s="53">
        <v>45579</v>
      </c>
      <c r="R1" s="53">
        <v>45580</v>
      </c>
      <c r="S1" s="53">
        <v>45581</v>
      </c>
      <c r="T1" s="53">
        <v>45582</v>
      </c>
      <c r="U1" s="53">
        <v>45583</v>
      </c>
      <c r="V1" s="53">
        <v>45584</v>
      </c>
      <c r="W1" s="53">
        <v>45585</v>
      </c>
      <c r="X1" s="53">
        <v>45586</v>
      </c>
      <c r="Y1" s="53">
        <v>45587</v>
      </c>
      <c r="Z1" s="53">
        <v>45588</v>
      </c>
      <c r="AA1" s="53">
        <v>45589</v>
      </c>
      <c r="AB1" s="53">
        <v>45590</v>
      </c>
      <c r="AC1" s="53">
        <v>45591</v>
      </c>
      <c r="AD1" s="53">
        <v>45592</v>
      </c>
      <c r="AE1" s="53">
        <v>45593</v>
      </c>
      <c r="AF1" s="53">
        <v>45594</v>
      </c>
      <c r="AG1" s="53">
        <v>45595</v>
      </c>
      <c r="AH1" s="53">
        <v>45596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9"/>
      <c r="F3" s="19"/>
      <c r="G3" s="1">
        <v>0</v>
      </c>
      <c r="H3" s="2"/>
      <c r="I3" s="2"/>
      <c r="J3" s="1">
        <v>0</v>
      </c>
      <c r="K3" s="1">
        <v>0</v>
      </c>
      <c r="L3" s="1">
        <v>0</v>
      </c>
      <c r="M3" s="2"/>
      <c r="N3" s="1">
        <v>0</v>
      </c>
      <c r="O3" s="2"/>
      <c r="P3" s="2"/>
      <c r="Q3" s="1">
        <v>0</v>
      </c>
      <c r="R3" s="1">
        <v>0</v>
      </c>
      <c r="S3" s="1">
        <v>0</v>
      </c>
      <c r="T3" s="1">
        <v>0</v>
      </c>
      <c r="U3" s="1">
        <v>0</v>
      </c>
      <c r="V3" s="2"/>
      <c r="W3" s="2"/>
      <c r="X3" s="1">
        <v>0</v>
      </c>
      <c r="Y3" s="1">
        <v>0</v>
      </c>
      <c r="Z3" s="1">
        <v>0</v>
      </c>
      <c r="AA3" s="1">
        <v>0</v>
      </c>
      <c r="AB3" s="1">
        <v>0</v>
      </c>
      <c r="AC3" s="2"/>
      <c r="AD3" s="2"/>
      <c r="AE3" s="1">
        <v>0</v>
      </c>
      <c r="AF3" s="1">
        <v>0</v>
      </c>
      <c r="AG3" s="1">
        <v>0</v>
      </c>
      <c r="AH3" s="2"/>
    </row>
    <row r="4" spans="1:34">
      <c r="A4" s="1">
        <v>2</v>
      </c>
      <c r="B4" s="1" t="s">
        <v>4</v>
      </c>
      <c r="C4" s="1">
        <f t="shared" ref="C4:C17" si="0">SUM(D4:AH4)</f>
        <v>29</v>
      </c>
      <c r="D4" s="1">
        <v>0</v>
      </c>
      <c r="E4" s="19"/>
      <c r="F4" s="19"/>
      <c r="G4" s="1">
        <v>0</v>
      </c>
      <c r="H4" s="2"/>
      <c r="I4" s="2"/>
      <c r="J4" s="1">
        <v>0</v>
      </c>
      <c r="K4" s="1">
        <v>4</v>
      </c>
      <c r="L4" s="1">
        <v>2</v>
      </c>
      <c r="M4" s="2"/>
      <c r="N4" s="1">
        <v>16</v>
      </c>
      <c r="O4" s="2"/>
      <c r="P4" s="2"/>
      <c r="Q4" s="1">
        <v>0</v>
      </c>
      <c r="R4" s="1">
        <v>3</v>
      </c>
      <c r="S4" s="1">
        <v>0</v>
      </c>
      <c r="T4" s="1">
        <v>0</v>
      </c>
      <c r="U4" s="1">
        <v>0</v>
      </c>
      <c r="V4" s="2"/>
      <c r="W4" s="2"/>
      <c r="X4" s="1">
        <v>0</v>
      </c>
      <c r="Y4" s="1">
        <v>0</v>
      </c>
      <c r="Z4" s="1">
        <v>0</v>
      </c>
      <c r="AA4" s="1">
        <v>0</v>
      </c>
      <c r="AB4" s="1">
        <v>0</v>
      </c>
      <c r="AC4" s="2"/>
      <c r="AD4" s="2"/>
      <c r="AE4" s="1">
        <v>0</v>
      </c>
      <c r="AF4" s="1">
        <v>4</v>
      </c>
      <c r="AG4" s="1">
        <v>0</v>
      </c>
      <c r="AH4" s="2"/>
    </row>
    <row r="5" spans="1:34">
      <c r="A5" s="1">
        <v>3</v>
      </c>
      <c r="B5" s="1" t="s">
        <v>5</v>
      </c>
      <c r="C5" s="1">
        <f t="shared" si="0"/>
        <v>12</v>
      </c>
      <c r="D5" s="1">
        <v>0</v>
      </c>
      <c r="E5" s="19"/>
      <c r="F5" s="19"/>
      <c r="G5" s="1">
        <v>0</v>
      </c>
      <c r="H5" s="2"/>
      <c r="I5" s="2"/>
      <c r="J5" s="1">
        <v>0</v>
      </c>
      <c r="K5" s="1">
        <v>8</v>
      </c>
      <c r="L5" s="1">
        <v>0</v>
      </c>
      <c r="M5" s="2"/>
      <c r="N5" s="1">
        <v>0</v>
      </c>
      <c r="O5" s="2"/>
      <c r="P5" s="2"/>
      <c r="Q5" s="1">
        <v>0</v>
      </c>
      <c r="R5" s="1">
        <v>0</v>
      </c>
      <c r="S5" s="1">
        <v>0</v>
      </c>
      <c r="T5" s="1">
        <v>0</v>
      </c>
      <c r="U5" s="1">
        <v>0</v>
      </c>
      <c r="V5" s="2"/>
      <c r="W5" s="2"/>
      <c r="X5" s="1">
        <v>0</v>
      </c>
      <c r="Y5" s="1">
        <v>0</v>
      </c>
      <c r="Z5" s="1">
        <v>0</v>
      </c>
      <c r="AA5" s="1">
        <v>0</v>
      </c>
      <c r="AB5" s="1">
        <v>0</v>
      </c>
      <c r="AC5" s="2"/>
      <c r="AD5" s="2"/>
      <c r="AE5" s="1">
        <v>2</v>
      </c>
      <c r="AF5" s="1">
        <v>2</v>
      </c>
      <c r="AG5" s="1">
        <v>0</v>
      </c>
      <c r="AH5" s="2"/>
    </row>
    <row r="6" spans="1:34">
      <c r="A6" s="1">
        <v>4</v>
      </c>
      <c r="B6" s="1" t="s">
        <v>6</v>
      </c>
      <c r="C6" s="1">
        <f t="shared" si="0"/>
        <v>32</v>
      </c>
      <c r="D6" s="1">
        <v>0</v>
      </c>
      <c r="E6" s="19"/>
      <c r="F6" s="19"/>
      <c r="G6" s="1">
        <v>0</v>
      </c>
      <c r="H6" s="2"/>
      <c r="I6" s="2"/>
      <c r="J6" s="1">
        <v>0</v>
      </c>
      <c r="K6" s="1">
        <v>0</v>
      </c>
      <c r="L6" s="1">
        <v>0</v>
      </c>
      <c r="M6" s="2"/>
      <c r="N6" s="1">
        <v>0</v>
      </c>
      <c r="O6" s="2"/>
      <c r="P6" s="2"/>
      <c r="Q6" s="1">
        <v>0</v>
      </c>
      <c r="R6" s="1">
        <v>16</v>
      </c>
      <c r="S6" s="1">
        <v>0</v>
      </c>
      <c r="T6" s="1">
        <v>0</v>
      </c>
      <c r="U6" s="1">
        <v>0</v>
      </c>
      <c r="V6" s="2"/>
      <c r="W6" s="2"/>
      <c r="X6" s="1">
        <v>16</v>
      </c>
      <c r="Y6" s="1">
        <v>0</v>
      </c>
      <c r="Z6" s="1">
        <v>0</v>
      </c>
      <c r="AA6" s="1">
        <v>0</v>
      </c>
      <c r="AB6" s="1">
        <v>0</v>
      </c>
      <c r="AC6" s="2"/>
      <c r="AD6" s="2"/>
      <c r="AE6" s="1">
        <v>0</v>
      </c>
      <c r="AF6" s="1">
        <v>0</v>
      </c>
      <c r="AG6" s="1">
        <v>0</v>
      </c>
      <c r="AH6" s="2"/>
    </row>
    <row r="7" spans="1:34">
      <c r="A7" s="1">
        <v>5</v>
      </c>
      <c r="B7" s="1" t="s">
        <v>7</v>
      </c>
      <c r="C7" s="1">
        <f t="shared" si="0"/>
        <v>16</v>
      </c>
      <c r="D7" s="1">
        <v>0</v>
      </c>
      <c r="E7" s="19"/>
      <c r="F7" s="19"/>
      <c r="G7" s="1">
        <v>0</v>
      </c>
      <c r="H7" s="2"/>
      <c r="I7" s="2"/>
      <c r="J7" s="1">
        <v>0</v>
      </c>
      <c r="K7" s="1">
        <v>0</v>
      </c>
      <c r="L7" s="1">
        <v>0</v>
      </c>
      <c r="M7" s="2"/>
      <c r="N7" s="1">
        <v>16</v>
      </c>
      <c r="O7" s="2"/>
      <c r="P7" s="2"/>
      <c r="Q7" s="1">
        <v>0</v>
      </c>
      <c r="R7" s="1">
        <v>0</v>
      </c>
      <c r="S7" s="1">
        <v>0</v>
      </c>
      <c r="T7" s="1">
        <v>0</v>
      </c>
      <c r="U7" s="1">
        <v>0</v>
      </c>
      <c r="V7" s="2"/>
      <c r="W7" s="2"/>
      <c r="X7" s="1">
        <v>0</v>
      </c>
      <c r="Y7" s="1">
        <v>0</v>
      </c>
      <c r="Z7" s="1">
        <v>0</v>
      </c>
      <c r="AA7" s="1">
        <v>0</v>
      </c>
      <c r="AB7" s="1">
        <v>0</v>
      </c>
      <c r="AC7" s="2"/>
      <c r="AD7" s="2"/>
      <c r="AE7" s="1">
        <v>0</v>
      </c>
      <c r="AF7" s="1">
        <v>0</v>
      </c>
      <c r="AG7" s="1">
        <v>0</v>
      </c>
      <c r="AH7" s="2"/>
    </row>
    <row r="8" spans="1:34">
      <c r="A8" s="1">
        <v>6</v>
      </c>
      <c r="B8" s="1" t="s">
        <v>8</v>
      </c>
      <c r="C8" s="1">
        <f t="shared" si="0"/>
        <v>48</v>
      </c>
      <c r="D8" s="1">
        <v>0</v>
      </c>
      <c r="E8" s="19"/>
      <c r="F8" s="19"/>
      <c r="G8" s="1">
        <v>0</v>
      </c>
      <c r="H8" s="2"/>
      <c r="I8" s="2"/>
      <c r="J8" s="1">
        <v>16</v>
      </c>
      <c r="K8" s="1">
        <v>0</v>
      </c>
      <c r="L8" s="1">
        <v>0</v>
      </c>
      <c r="M8" s="2"/>
      <c r="N8" s="1">
        <v>0</v>
      </c>
      <c r="O8" s="2"/>
      <c r="P8" s="2"/>
      <c r="Q8" s="1">
        <v>16</v>
      </c>
      <c r="R8" s="1">
        <v>0</v>
      </c>
      <c r="S8" s="1">
        <v>0</v>
      </c>
      <c r="T8" s="1">
        <v>0</v>
      </c>
      <c r="U8" s="1">
        <v>0</v>
      </c>
      <c r="V8" s="2"/>
      <c r="W8" s="2"/>
      <c r="X8" s="1">
        <v>0</v>
      </c>
      <c r="Y8" s="1">
        <v>0</v>
      </c>
      <c r="Z8" s="1">
        <v>0</v>
      </c>
      <c r="AA8" s="1">
        <v>0</v>
      </c>
      <c r="AB8" s="1">
        <v>0</v>
      </c>
      <c r="AC8" s="2"/>
      <c r="AD8" s="2"/>
      <c r="AE8" s="1">
        <v>0</v>
      </c>
      <c r="AF8" s="1">
        <v>16</v>
      </c>
      <c r="AG8" s="1">
        <v>0</v>
      </c>
      <c r="AH8" s="2"/>
    </row>
    <row r="9" spans="1:34">
      <c r="A9" s="1">
        <v>7</v>
      </c>
      <c r="B9" s="1" t="s">
        <v>9</v>
      </c>
      <c r="C9" s="1">
        <f t="shared" si="0"/>
        <v>16</v>
      </c>
      <c r="D9" s="1">
        <v>0</v>
      </c>
      <c r="E9" s="19"/>
      <c r="F9" s="19"/>
      <c r="G9" s="1">
        <v>16</v>
      </c>
      <c r="H9" s="2"/>
      <c r="I9" s="2"/>
      <c r="J9" s="1">
        <v>0</v>
      </c>
      <c r="K9" s="1">
        <v>0</v>
      </c>
      <c r="L9" s="1">
        <v>0</v>
      </c>
      <c r="M9" s="2"/>
      <c r="N9" s="1">
        <v>0</v>
      </c>
      <c r="O9" s="2"/>
      <c r="P9" s="2"/>
      <c r="Q9" s="1">
        <v>0</v>
      </c>
      <c r="R9" s="1">
        <v>0</v>
      </c>
      <c r="S9" s="1">
        <v>0</v>
      </c>
      <c r="T9" s="1">
        <v>0</v>
      </c>
      <c r="U9" s="1">
        <v>0</v>
      </c>
      <c r="V9" s="2"/>
      <c r="W9" s="2"/>
      <c r="X9" s="1">
        <v>0</v>
      </c>
      <c r="Y9" s="1">
        <v>0</v>
      </c>
      <c r="Z9" s="1">
        <v>0</v>
      </c>
      <c r="AA9" s="1">
        <v>0</v>
      </c>
      <c r="AB9" s="1">
        <v>0</v>
      </c>
      <c r="AC9" s="2"/>
      <c r="AD9" s="2"/>
      <c r="AE9" s="1">
        <v>0</v>
      </c>
      <c r="AF9" s="1">
        <v>0</v>
      </c>
      <c r="AG9" s="1">
        <v>0</v>
      </c>
      <c r="AH9" s="2"/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9"/>
      <c r="F10" s="19"/>
      <c r="G10" s="1">
        <v>0</v>
      </c>
      <c r="H10" s="2"/>
      <c r="I10" s="2"/>
      <c r="J10" s="1">
        <v>0</v>
      </c>
      <c r="K10" s="1">
        <v>0</v>
      </c>
      <c r="L10" s="1">
        <v>0</v>
      </c>
      <c r="M10" s="2"/>
      <c r="N10" s="1">
        <v>0</v>
      </c>
      <c r="O10" s="2"/>
      <c r="P10" s="2"/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/>
      <c r="W10" s="2"/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2"/>
      <c r="AD10" s="2"/>
      <c r="AE10" s="1">
        <v>0</v>
      </c>
      <c r="AF10" s="1">
        <v>0</v>
      </c>
      <c r="AG10" s="1">
        <v>0</v>
      </c>
      <c r="AH10" s="2"/>
    </row>
    <row r="11" spans="1:34">
      <c r="A11" s="1">
        <v>9</v>
      </c>
      <c r="B11" s="1" t="s">
        <v>11</v>
      </c>
      <c r="C11" s="1">
        <f t="shared" si="0"/>
        <v>32</v>
      </c>
      <c r="D11" s="1">
        <v>0</v>
      </c>
      <c r="E11" s="19"/>
      <c r="F11" s="19"/>
      <c r="G11" s="1">
        <v>0</v>
      </c>
      <c r="H11" s="2"/>
      <c r="I11" s="2"/>
      <c r="J11" s="1">
        <v>0</v>
      </c>
      <c r="K11" s="1">
        <v>0</v>
      </c>
      <c r="L11" s="1">
        <v>0</v>
      </c>
      <c r="M11" s="2"/>
      <c r="N11" s="1">
        <v>16</v>
      </c>
      <c r="O11" s="2"/>
      <c r="P11" s="2"/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2"/>
      <c r="W11" s="2"/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2"/>
      <c r="AD11" s="2"/>
      <c r="AE11" s="1">
        <v>0</v>
      </c>
      <c r="AF11" s="1">
        <v>16</v>
      </c>
      <c r="AG11" s="1">
        <v>0</v>
      </c>
      <c r="AH11" s="2"/>
    </row>
    <row r="12" spans="1:34">
      <c r="A12" s="1">
        <v>10</v>
      </c>
      <c r="B12" s="1" t="s">
        <v>12</v>
      </c>
      <c r="C12" s="1">
        <f t="shared" si="0"/>
        <v>16</v>
      </c>
      <c r="D12" s="1">
        <v>0</v>
      </c>
      <c r="E12" s="19"/>
      <c r="F12" s="19"/>
      <c r="G12" s="1">
        <v>0</v>
      </c>
      <c r="H12" s="2"/>
      <c r="I12" s="2"/>
      <c r="J12" s="1">
        <v>0</v>
      </c>
      <c r="K12" s="1">
        <v>16</v>
      </c>
      <c r="L12" s="1">
        <v>0</v>
      </c>
      <c r="M12" s="2"/>
      <c r="N12" s="1">
        <v>0</v>
      </c>
      <c r="O12" s="2"/>
      <c r="P12" s="2"/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2"/>
      <c r="W12" s="2"/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2"/>
      <c r="AD12" s="2"/>
      <c r="AE12" s="1">
        <v>0</v>
      </c>
      <c r="AF12" s="1">
        <v>0</v>
      </c>
      <c r="AG12" s="1">
        <v>0</v>
      </c>
      <c r="AH12" s="2"/>
    </row>
    <row r="13" spans="1:34">
      <c r="A13" s="1">
        <v>11</v>
      </c>
      <c r="B13" s="1" t="s">
        <v>13</v>
      </c>
      <c r="C13" s="1">
        <f t="shared" si="0"/>
        <v>22</v>
      </c>
      <c r="D13" s="1">
        <v>0</v>
      </c>
      <c r="E13" s="19"/>
      <c r="F13" s="19"/>
      <c r="G13" s="1">
        <v>0</v>
      </c>
      <c r="H13" s="2"/>
      <c r="I13" s="2"/>
      <c r="J13" s="1">
        <v>0</v>
      </c>
      <c r="K13" s="1">
        <v>0</v>
      </c>
      <c r="L13" s="1">
        <v>0</v>
      </c>
      <c r="M13" s="2"/>
      <c r="N13" s="1">
        <v>4</v>
      </c>
      <c r="O13" s="2"/>
      <c r="P13" s="2"/>
      <c r="Q13" s="1">
        <v>0</v>
      </c>
      <c r="R13" s="1">
        <v>0</v>
      </c>
      <c r="S13" s="1">
        <v>2</v>
      </c>
      <c r="T13" s="1">
        <v>0</v>
      </c>
      <c r="U13" s="1">
        <v>16</v>
      </c>
      <c r="V13" s="2"/>
      <c r="W13" s="2"/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2"/>
      <c r="AD13" s="2"/>
      <c r="AE13" s="1">
        <v>0</v>
      </c>
      <c r="AF13" s="1">
        <v>0</v>
      </c>
      <c r="AG13" s="1">
        <v>0</v>
      </c>
      <c r="AH13" s="2"/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19"/>
      <c r="F14" s="19"/>
      <c r="G14" s="1">
        <v>0</v>
      </c>
      <c r="H14" s="2"/>
      <c r="I14" s="2"/>
      <c r="J14" s="1">
        <v>0</v>
      </c>
      <c r="K14" s="1">
        <v>0</v>
      </c>
      <c r="L14" s="1">
        <v>0</v>
      </c>
      <c r="M14" s="2"/>
      <c r="N14" s="1">
        <v>0</v>
      </c>
      <c r="O14" s="2"/>
      <c r="P14" s="2"/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/>
      <c r="W14" s="2"/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2"/>
      <c r="AD14" s="2"/>
      <c r="AE14" s="1">
        <v>0</v>
      </c>
      <c r="AF14" s="1">
        <v>0</v>
      </c>
      <c r="AG14" s="1">
        <v>0</v>
      </c>
      <c r="AH14" s="2"/>
    </row>
    <row r="15" spans="1:34" ht="16.25" hidden="1" customHeight="1">
      <c r="A15" s="1">
        <v>13</v>
      </c>
      <c r="B15" s="1" t="s">
        <v>15</v>
      </c>
      <c r="C15" s="1">
        <f t="shared" si="0"/>
        <v>0</v>
      </c>
      <c r="D15" s="1">
        <v>0</v>
      </c>
      <c r="E15" s="19"/>
      <c r="F15" s="19"/>
      <c r="G15" s="1">
        <v>0</v>
      </c>
      <c r="H15" s="2"/>
      <c r="I15" s="2"/>
      <c r="J15" s="1">
        <v>0</v>
      </c>
      <c r="K15" s="1">
        <v>0</v>
      </c>
      <c r="L15" s="1">
        <v>0</v>
      </c>
      <c r="M15" s="2"/>
      <c r="N15" s="1">
        <v>0</v>
      </c>
      <c r="O15" s="2"/>
      <c r="P15" s="2"/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2"/>
      <c r="W15" s="2"/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2"/>
      <c r="AD15" s="2"/>
      <c r="AE15" s="1">
        <v>0</v>
      </c>
      <c r="AF15" s="1">
        <v>0</v>
      </c>
      <c r="AG15" s="1">
        <v>0</v>
      </c>
      <c r="AH15" s="2"/>
    </row>
    <row r="16" spans="1:34">
      <c r="A16" s="1">
        <v>13</v>
      </c>
      <c r="B16" s="1" t="s">
        <v>16</v>
      </c>
      <c r="C16" s="1">
        <f t="shared" si="0"/>
        <v>11</v>
      </c>
      <c r="D16" s="1">
        <v>0</v>
      </c>
      <c r="E16" s="19"/>
      <c r="F16" s="19"/>
      <c r="G16" s="1">
        <v>8</v>
      </c>
      <c r="H16" s="2"/>
      <c r="I16" s="2"/>
      <c r="J16" s="1">
        <v>0</v>
      </c>
      <c r="K16" s="1">
        <v>0</v>
      </c>
      <c r="L16" s="1">
        <v>0</v>
      </c>
      <c r="M16" s="2"/>
      <c r="N16" s="1">
        <v>0</v>
      </c>
      <c r="O16" s="2"/>
      <c r="P16" s="2"/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2"/>
      <c r="W16" s="2"/>
      <c r="X16" s="1">
        <v>0</v>
      </c>
      <c r="Y16" s="1">
        <v>1</v>
      </c>
      <c r="Z16" s="1">
        <v>0</v>
      </c>
      <c r="AA16" s="1">
        <v>0</v>
      </c>
      <c r="AB16" s="1">
        <v>1</v>
      </c>
      <c r="AC16" s="2"/>
      <c r="AD16" s="2"/>
      <c r="AE16" s="1">
        <v>0</v>
      </c>
      <c r="AF16" s="1">
        <v>0</v>
      </c>
      <c r="AG16" s="1">
        <v>0</v>
      </c>
      <c r="AH16" s="2"/>
    </row>
    <row r="17" spans="1:34">
      <c r="A17" s="1">
        <v>14</v>
      </c>
      <c r="B17" s="1" t="s">
        <v>271</v>
      </c>
      <c r="C17" s="1">
        <f t="shared" si="0"/>
        <v>0</v>
      </c>
      <c r="D17" s="1">
        <v>0</v>
      </c>
      <c r="E17" s="19"/>
      <c r="F17" s="19"/>
      <c r="G17" s="1">
        <v>0</v>
      </c>
      <c r="H17" s="2"/>
      <c r="I17" s="2"/>
      <c r="J17" s="1">
        <v>0</v>
      </c>
      <c r="K17" s="1">
        <v>0</v>
      </c>
      <c r="L17" s="1">
        <v>0</v>
      </c>
      <c r="M17" s="2"/>
      <c r="N17" s="1">
        <v>0</v>
      </c>
      <c r="O17" s="2"/>
      <c r="P17" s="2"/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2"/>
      <c r="W17" s="2"/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2"/>
      <c r="AD17" s="2"/>
      <c r="AE17" s="1">
        <v>0</v>
      </c>
      <c r="AF17" s="1">
        <v>0</v>
      </c>
      <c r="AG17" s="1">
        <v>0</v>
      </c>
      <c r="AH17" s="2"/>
    </row>
    <row r="18" spans="1:34">
      <c r="A18" s="1">
        <v>15</v>
      </c>
      <c r="B18" s="1" t="s">
        <v>301</v>
      </c>
      <c r="C18" s="1">
        <f t="shared" ref="C18" si="1">SUM(D18:AH18)</f>
        <v>0</v>
      </c>
      <c r="D18" s="1">
        <v>0</v>
      </c>
      <c r="E18" s="19"/>
      <c r="F18" s="19"/>
      <c r="G18" s="1">
        <v>0</v>
      </c>
      <c r="H18" s="2"/>
      <c r="I18" s="2"/>
      <c r="J18" s="1">
        <v>0</v>
      </c>
      <c r="K18" s="1">
        <v>0</v>
      </c>
      <c r="L18" s="1">
        <v>0</v>
      </c>
      <c r="M18" s="2"/>
      <c r="N18" s="1">
        <v>0</v>
      </c>
      <c r="O18" s="2"/>
      <c r="P18" s="2"/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2"/>
      <c r="W18" s="2"/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/>
      <c r="AD18" s="2"/>
      <c r="AE18" s="1">
        <v>0</v>
      </c>
      <c r="AF18" s="1">
        <v>0</v>
      </c>
      <c r="AG18" s="1">
        <v>0</v>
      </c>
      <c r="AH18" s="2"/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H18"/>
  <sheetViews>
    <sheetView workbookViewId="0">
      <selection activeCell="L20" sqref="L20"/>
    </sheetView>
  </sheetViews>
  <sheetFormatPr baseColWidth="10" defaultColWidth="8.83203125" defaultRowHeight="15"/>
  <cols>
    <col min="3" max="3" width="15.33203125" customWidth="1"/>
    <col min="4" max="34" width="8.83203125" customWidth="1"/>
    <col min="35" max="35" width="0" hidden="1" customWidth="1"/>
  </cols>
  <sheetData>
    <row r="1" spans="1:34" ht="28.25" customHeight="1">
      <c r="A1" s="59" t="s">
        <v>19</v>
      </c>
      <c r="B1" s="59"/>
      <c r="C1" s="37" t="s">
        <v>290</v>
      </c>
      <c r="D1" s="53">
        <v>45566</v>
      </c>
      <c r="E1" s="53">
        <v>45567</v>
      </c>
      <c r="F1" s="53">
        <v>45568</v>
      </c>
      <c r="G1" s="53">
        <v>45569</v>
      </c>
      <c r="H1" s="53">
        <v>45570</v>
      </c>
      <c r="I1" s="53">
        <v>45571</v>
      </c>
      <c r="J1" s="53">
        <v>45572</v>
      </c>
      <c r="K1" s="53">
        <v>45573</v>
      </c>
      <c r="L1" s="53">
        <v>45574</v>
      </c>
      <c r="M1" s="53">
        <v>45575</v>
      </c>
      <c r="N1" s="53">
        <v>45576</v>
      </c>
      <c r="O1" s="53">
        <v>45577</v>
      </c>
      <c r="P1" s="53">
        <v>45578</v>
      </c>
      <c r="Q1" s="53">
        <v>45579</v>
      </c>
      <c r="R1" s="53">
        <v>45580</v>
      </c>
      <c r="S1" s="53">
        <v>45581</v>
      </c>
      <c r="T1" s="53">
        <v>45582</v>
      </c>
      <c r="U1" s="53">
        <v>45583</v>
      </c>
      <c r="V1" s="53">
        <v>45584</v>
      </c>
      <c r="W1" s="53">
        <v>45585</v>
      </c>
      <c r="X1" s="53">
        <v>45586</v>
      </c>
      <c r="Y1" s="53">
        <v>45587</v>
      </c>
      <c r="Z1" s="53">
        <v>45588</v>
      </c>
      <c r="AA1" s="53">
        <v>45589</v>
      </c>
      <c r="AB1" s="53">
        <v>45590</v>
      </c>
      <c r="AC1" s="53">
        <v>45591</v>
      </c>
      <c r="AD1" s="53">
        <v>45592</v>
      </c>
      <c r="AE1" s="53">
        <v>45593</v>
      </c>
      <c r="AF1" s="53">
        <v>45594</v>
      </c>
      <c r="AG1" s="53">
        <v>45595</v>
      </c>
      <c r="AH1" s="53">
        <v>45596</v>
      </c>
    </row>
    <row r="2" spans="1:34">
      <c r="A2" s="1" t="s">
        <v>1</v>
      </c>
      <c r="B2" s="1" t="s">
        <v>2</v>
      </c>
      <c r="C2" s="3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9"/>
      <c r="F3" s="19"/>
      <c r="G3" s="1">
        <v>0</v>
      </c>
      <c r="H3" s="2"/>
      <c r="I3" s="2"/>
      <c r="J3" s="1">
        <v>0</v>
      </c>
      <c r="K3" s="1">
        <v>0</v>
      </c>
      <c r="L3" s="1">
        <v>0</v>
      </c>
      <c r="M3" s="2"/>
      <c r="N3" s="1">
        <v>0</v>
      </c>
      <c r="O3" s="2"/>
      <c r="P3" s="2"/>
      <c r="Q3" s="1">
        <v>0</v>
      </c>
      <c r="R3" s="1">
        <v>0</v>
      </c>
      <c r="S3" s="1">
        <v>0</v>
      </c>
      <c r="T3" s="1">
        <v>0</v>
      </c>
      <c r="U3" s="1">
        <v>0</v>
      </c>
      <c r="V3" s="2"/>
      <c r="W3" s="2"/>
      <c r="X3" s="1">
        <v>0</v>
      </c>
      <c r="Y3" s="1">
        <v>0</v>
      </c>
      <c r="Z3" s="1">
        <v>0</v>
      </c>
      <c r="AA3" s="1">
        <v>0</v>
      </c>
      <c r="AB3" s="1">
        <v>0</v>
      </c>
      <c r="AC3" s="2"/>
      <c r="AD3" s="2"/>
      <c r="AE3" s="1">
        <v>0</v>
      </c>
      <c r="AF3" s="1">
        <v>0</v>
      </c>
      <c r="AG3" s="1">
        <v>0</v>
      </c>
      <c r="AH3" s="2"/>
    </row>
    <row r="4" spans="1:34">
      <c r="A4" s="1">
        <v>2</v>
      </c>
      <c r="B4" s="1" t="s">
        <v>4</v>
      </c>
      <c r="C4" s="1">
        <f t="shared" ref="C4:C18" si="0">SUM(D4:AH4)</f>
        <v>0</v>
      </c>
      <c r="D4" s="1">
        <v>0</v>
      </c>
      <c r="E4" s="19"/>
      <c r="F4" s="19"/>
      <c r="G4" s="1">
        <v>0</v>
      </c>
      <c r="H4" s="2"/>
      <c r="I4" s="2"/>
      <c r="J4" s="1">
        <v>0</v>
      </c>
      <c r="K4" s="1">
        <v>0</v>
      </c>
      <c r="L4" s="1">
        <v>0</v>
      </c>
      <c r="M4" s="2"/>
      <c r="N4" s="1">
        <v>0</v>
      </c>
      <c r="O4" s="2"/>
      <c r="P4" s="2"/>
      <c r="Q4" s="1">
        <v>0</v>
      </c>
      <c r="R4" s="1">
        <v>0</v>
      </c>
      <c r="S4" s="1">
        <v>0</v>
      </c>
      <c r="T4" s="1">
        <v>0</v>
      </c>
      <c r="U4" s="1">
        <v>0</v>
      </c>
      <c r="V4" s="2"/>
      <c r="W4" s="2"/>
      <c r="X4" s="1">
        <v>0</v>
      </c>
      <c r="Y4" s="1">
        <v>0</v>
      </c>
      <c r="Z4" s="1">
        <v>0</v>
      </c>
      <c r="AA4" s="1">
        <v>0</v>
      </c>
      <c r="AB4" s="1">
        <v>0</v>
      </c>
      <c r="AC4" s="2"/>
      <c r="AD4" s="2"/>
      <c r="AE4" s="1">
        <v>0</v>
      </c>
      <c r="AF4" s="1">
        <v>0</v>
      </c>
      <c r="AG4" s="1">
        <v>0</v>
      </c>
      <c r="AH4" s="2"/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19"/>
      <c r="F5" s="19"/>
      <c r="G5" s="1">
        <v>0</v>
      </c>
      <c r="H5" s="2"/>
      <c r="I5" s="2"/>
      <c r="J5" s="1">
        <v>0</v>
      </c>
      <c r="K5" s="1">
        <v>0</v>
      </c>
      <c r="L5" s="1">
        <v>0</v>
      </c>
      <c r="M5" s="2"/>
      <c r="N5" s="1">
        <v>0</v>
      </c>
      <c r="O5" s="2"/>
      <c r="P5" s="2"/>
      <c r="Q5" s="1">
        <v>0</v>
      </c>
      <c r="R5" s="1">
        <v>0</v>
      </c>
      <c r="S5" s="1">
        <v>0</v>
      </c>
      <c r="T5" s="1">
        <v>0</v>
      </c>
      <c r="U5" s="1">
        <v>0</v>
      </c>
      <c r="V5" s="2"/>
      <c r="W5" s="2"/>
      <c r="X5" s="1">
        <v>0</v>
      </c>
      <c r="Y5" s="1">
        <v>0</v>
      </c>
      <c r="Z5" s="1">
        <v>0</v>
      </c>
      <c r="AA5" s="1">
        <v>0</v>
      </c>
      <c r="AB5" s="1">
        <v>0</v>
      </c>
      <c r="AC5" s="2"/>
      <c r="AD5" s="2"/>
      <c r="AE5" s="1">
        <v>0</v>
      </c>
      <c r="AF5" s="1">
        <v>0</v>
      </c>
      <c r="AG5" s="1">
        <v>0</v>
      </c>
      <c r="AH5" s="2"/>
    </row>
    <row r="6" spans="1:34">
      <c r="A6" s="1">
        <v>4</v>
      </c>
      <c r="B6" s="1" t="s">
        <v>6</v>
      </c>
      <c r="C6" s="1">
        <f t="shared" si="0"/>
        <v>10</v>
      </c>
      <c r="D6" s="1">
        <v>4</v>
      </c>
      <c r="E6" s="19"/>
      <c r="F6" s="19"/>
      <c r="G6" s="1">
        <v>0</v>
      </c>
      <c r="H6" s="2"/>
      <c r="I6" s="2"/>
      <c r="J6" s="1">
        <v>2</v>
      </c>
      <c r="K6" s="1">
        <v>0</v>
      </c>
      <c r="L6" s="1">
        <v>0</v>
      </c>
      <c r="M6" s="2"/>
      <c r="N6" s="1">
        <v>0</v>
      </c>
      <c r="O6" s="2"/>
      <c r="P6" s="2"/>
      <c r="Q6" s="1">
        <v>0</v>
      </c>
      <c r="R6" s="1">
        <v>0</v>
      </c>
      <c r="S6" s="1">
        <v>0</v>
      </c>
      <c r="T6" s="1">
        <v>4</v>
      </c>
      <c r="U6" s="1">
        <v>0</v>
      </c>
      <c r="V6" s="2"/>
      <c r="W6" s="2"/>
      <c r="X6" s="1">
        <v>0</v>
      </c>
      <c r="Y6" s="1">
        <v>0</v>
      </c>
      <c r="Z6" s="1">
        <v>0</v>
      </c>
      <c r="AA6" s="1">
        <v>0</v>
      </c>
      <c r="AB6" s="1">
        <v>0</v>
      </c>
      <c r="AC6" s="2"/>
      <c r="AD6" s="2"/>
      <c r="AE6" s="1">
        <v>0</v>
      </c>
      <c r="AF6" s="1">
        <v>0</v>
      </c>
      <c r="AG6" s="1">
        <v>0</v>
      </c>
      <c r="AH6" s="2"/>
    </row>
    <row r="7" spans="1:34">
      <c r="A7" s="1">
        <v>5</v>
      </c>
      <c r="B7" s="1" t="s">
        <v>7</v>
      </c>
      <c r="C7" s="1">
        <f t="shared" si="0"/>
        <v>8</v>
      </c>
      <c r="D7" s="1">
        <v>2</v>
      </c>
      <c r="E7" s="19"/>
      <c r="F7" s="19"/>
      <c r="G7" s="1">
        <v>0</v>
      </c>
      <c r="H7" s="2"/>
      <c r="I7" s="2"/>
      <c r="J7" s="1">
        <v>0</v>
      </c>
      <c r="K7" s="1">
        <v>0</v>
      </c>
      <c r="L7" s="1">
        <v>0</v>
      </c>
      <c r="M7" s="2"/>
      <c r="N7" s="1">
        <v>0</v>
      </c>
      <c r="O7" s="2"/>
      <c r="P7" s="2"/>
      <c r="Q7" s="1">
        <v>0</v>
      </c>
      <c r="R7" s="1">
        <v>0</v>
      </c>
      <c r="S7" s="1">
        <v>0</v>
      </c>
      <c r="T7" s="1">
        <v>0</v>
      </c>
      <c r="U7" s="1">
        <v>0</v>
      </c>
      <c r="V7" s="2"/>
      <c r="W7" s="2"/>
      <c r="X7" s="1">
        <v>0</v>
      </c>
      <c r="Y7" s="1">
        <v>2</v>
      </c>
      <c r="Z7" s="1">
        <v>0</v>
      </c>
      <c r="AA7" s="1">
        <v>0</v>
      </c>
      <c r="AB7" s="1">
        <v>0</v>
      </c>
      <c r="AC7" s="2"/>
      <c r="AD7" s="2"/>
      <c r="AE7" s="1">
        <v>0</v>
      </c>
      <c r="AF7" s="1">
        <v>0</v>
      </c>
      <c r="AG7" s="1">
        <v>0</v>
      </c>
      <c r="AH7" s="2">
        <v>4</v>
      </c>
    </row>
    <row r="8" spans="1:34">
      <c r="A8" s="1">
        <v>6</v>
      </c>
      <c r="B8" s="1" t="s">
        <v>8</v>
      </c>
      <c r="C8" s="1">
        <f t="shared" si="0"/>
        <v>20</v>
      </c>
      <c r="D8" s="1">
        <v>3</v>
      </c>
      <c r="E8" s="19"/>
      <c r="F8" s="19"/>
      <c r="G8" s="1">
        <v>1</v>
      </c>
      <c r="H8" s="2"/>
      <c r="I8" s="2"/>
      <c r="J8" s="1">
        <v>0</v>
      </c>
      <c r="K8" s="1">
        <v>1</v>
      </c>
      <c r="L8" s="1">
        <v>2</v>
      </c>
      <c r="M8" s="2"/>
      <c r="N8" s="1">
        <v>1</v>
      </c>
      <c r="O8" s="2"/>
      <c r="P8" s="2"/>
      <c r="Q8" s="1">
        <v>0</v>
      </c>
      <c r="R8" s="1">
        <v>1</v>
      </c>
      <c r="S8" s="1">
        <v>2</v>
      </c>
      <c r="T8" s="1">
        <v>1</v>
      </c>
      <c r="U8" s="1">
        <v>0</v>
      </c>
      <c r="V8" s="2"/>
      <c r="W8" s="2"/>
      <c r="X8" s="1">
        <v>1</v>
      </c>
      <c r="Y8" s="1">
        <v>3</v>
      </c>
      <c r="Z8" s="1">
        <v>1</v>
      </c>
      <c r="AA8" s="1">
        <v>1</v>
      </c>
      <c r="AB8" s="1">
        <v>1</v>
      </c>
      <c r="AC8" s="2"/>
      <c r="AD8" s="2"/>
      <c r="AE8" s="1">
        <v>0</v>
      </c>
      <c r="AF8" s="1">
        <v>0</v>
      </c>
      <c r="AG8" s="1">
        <v>0</v>
      </c>
      <c r="AH8" s="2">
        <v>1</v>
      </c>
    </row>
    <row r="9" spans="1:34">
      <c r="A9" s="1">
        <v>7</v>
      </c>
      <c r="B9" s="1" t="s">
        <v>9</v>
      </c>
      <c r="C9" s="1">
        <f t="shared" si="0"/>
        <v>11</v>
      </c>
      <c r="D9" s="1">
        <v>0</v>
      </c>
      <c r="E9" s="19"/>
      <c r="F9" s="19"/>
      <c r="G9" s="1">
        <v>0</v>
      </c>
      <c r="H9" s="2"/>
      <c r="I9" s="2"/>
      <c r="J9" s="1">
        <v>0</v>
      </c>
      <c r="K9" s="1">
        <v>0</v>
      </c>
      <c r="L9" s="1">
        <v>4</v>
      </c>
      <c r="M9" s="2"/>
      <c r="N9" s="1">
        <v>0</v>
      </c>
      <c r="O9" s="2"/>
      <c r="P9" s="2"/>
      <c r="Q9" s="1">
        <v>0</v>
      </c>
      <c r="R9" s="1">
        <v>0</v>
      </c>
      <c r="S9" s="1">
        <v>0</v>
      </c>
      <c r="T9" s="1">
        <v>7</v>
      </c>
      <c r="U9" s="1">
        <v>0</v>
      </c>
      <c r="V9" s="2"/>
      <c r="W9" s="2"/>
      <c r="X9" s="1">
        <v>0</v>
      </c>
      <c r="Y9" s="1">
        <v>0</v>
      </c>
      <c r="Z9" s="1">
        <v>0</v>
      </c>
      <c r="AA9" s="1">
        <v>0</v>
      </c>
      <c r="AB9" s="1">
        <v>0</v>
      </c>
      <c r="AC9" s="2"/>
      <c r="AD9" s="2"/>
      <c r="AE9" s="1">
        <v>0</v>
      </c>
      <c r="AF9" s="1">
        <v>0</v>
      </c>
      <c r="AG9" s="1">
        <v>0</v>
      </c>
      <c r="AH9" s="2"/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9"/>
      <c r="F10" s="19"/>
      <c r="G10" s="1">
        <v>0</v>
      </c>
      <c r="H10" s="2"/>
      <c r="I10" s="2"/>
      <c r="J10" s="1">
        <v>0</v>
      </c>
      <c r="K10" s="1">
        <v>0</v>
      </c>
      <c r="L10" s="1">
        <v>0</v>
      </c>
      <c r="M10" s="2"/>
      <c r="N10" s="1">
        <v>0</v>
      </c>
      <c r="O10" s="2"/>
      <c r="P10" s="2"/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/>
      <c r="W10" s="2"/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2"/>
      <c r="AD10" s="2"/>
      <c r="AE10" s="1">
        <v>0</v>
      </c>
      <c r="AF10" s="1">
        <v>0</v>
      </c>
      <c r="AG10" s="1">
        <v>0</v>
      </c>
      <c r="AH10" s="2"/>
    </row>
    <row r="11" spans="1:34">
      <c r="A11" s="1">
        <v>9</v>
      </c>
      <c r="B11" s="1" t="s">
        <v>11</v>
      </c>
      <c r="C11" s="1">
        <f t="shared" si="0"/>
        <v>2</v>
      </c>
      <c r="D11" s="1">
        <v>0</v>
      </c>
      <c r="E11" s="19"/>
      <c r="F11" s="19"/>
      <c r="G11" s="1">
        <v>0</v>
      </c>
      <c r="H11" s="2"/>
      <c r="I11" s="2"/>
      <c r="J11" s="1">
        <v>0</v>
      </c>
      <c r="K11" s="1">
        <v>0</v>
      </c>
      <c r="L11" s="1">
        <v>0</v>
      </c>
      <c r="M11" s="2"/>
      <c r="N11" s="1">
        <v>0</v>
      </c>
      <c r="O11" s="2"/>
      <c r="P11" s="2"/>
      <c r="Q11" s="1">
        <v>0</v>
      </c>
      <c r="R11" s="1">
        <v>0</v>
      </c>
      <c r="S11" s="1">
        <v>0</v>
      </c>
      <c r="T11" s="1">
        <v>2</v>
      </c>
      <c r="U11" s="1">
        <v>0</v>
      </c>
      <c r="V11" s="2"/>
      <c r="W11" s="2"/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2"/>
      <c r="AD11" s="2"/>
      <c r="AE11" s="1">
        <v>0</v>
      </c>
      <c r="AF11" s="1">
        <v>0</v>
      </c>
      <c r="AG11" s="1">
        <v>0</v>
      </c>
      <c r="AH11" s="2"/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9"/>
      <c r="F12" s="19"/>
      <c r="G12" s="1">
        <v>0</v>
      </c>
      <c r="H12" s="2"/>
      <c r="I12" s="2"/>
      <c r="J12" s="1">
        <v>0</v>
      </c>
      <c r="K12" s="1">
        <v>0</v>
      </c>
      <c r="L12" s="1">
        <v>0</v>
      </c>
      <c r="M12" s="2"/>
      <c r="N12" s="1">
        <v>0</v>
      </c>
      <c r="O12" s="2"/>
      <c r="P12" s="2"/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2"/>
      <c r="W12" s="2"/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2"/>
      <c r="AD12" s="2"/>
      <c r="AE12" s="1">
        <v>0</v>
      </c>
      <c r="AF12" s="1">
        <v>0</v>
      </c>
      <c r="AG12" s="1">
        <v>0</v>
      </c>
      <c r="AH12" s="2"/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19"/>
      <c r="F13" s="19"/>
      <c r="G13" s="1">
        <v>0</v>
      </c>
      <c r="H13" s="2"/>
      <c r="I13" s="2"/>
      <c r="J13" s="1">
        <v>0</v>
      </c>
      <c r="K13" s="1">
        <v>0</v>
      </c>
      <c r="L13" s="1">
        <v>0</v>
      </c>
      <c r="M13" s="2"/>
      <c r="N13" s="1">
        <v>0</v>
      </c>
      <c r="O13" s="2"/>
      <c r="P13" s="2"/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2"/>
      <c r="W13" s="2"/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2"/>
      <c r="AD13" s="2"/>
      <c r="AE13" s="1">
        <v>0</v>
      </c>
      <c r="AF13" s="1">
        <v>0</v>
      </c>
      <c r="AG13" s="1">
        <v>0</v>
      </c>
      <c r="AH13" s="2"/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19"/>
      <c r="F14" s="19"/>
      <c r="G14" s="1">
        <v>0</v>
      </c>
      <c r="H14" s="2"/>
      <c r="I14" s="2"/>
      <c r="J14" s="1">
        <v>0</v>
      </c>
      <c r="K14" s="1">
        <v>0</v>
      </c>
      <c r="L14" s="1">
        <v>0</v>
      </c>
      <c r="M14" s="2"/>
      <c r="N14" s="1">
        <v>0</v>
      </c>
      <c r="O14" s="2"/>
      <c r="P14" s="2"/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/>
      <c r="W14" s="2"/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2"/>
      <c r="AD14" s="2"/>
      <c r="AE14" s="1">
        <v>0</v>
      </c>
      <c r="AF14" s="1">
        <v>0</v>
      </c>
      <c r="AG14" s="1">
        <v>0</v>
      </c>
      <c r="AH14" s="2"/>
    </row>
    <row r="15" spans="1:34" ht="16.25" customHeight="1">
      <c r="A15" s="1">
        <v>13</v>
      </c>
      <c r="B15" s="1" t="s">
        <v>15</v>
      </c>
      <c r="C15" s="1">
        <f t="shared" si="0"/>
        <v>0</v>
      </c>
      <c r="D15" s="1">
        <v>0</v>
      </c>
      <c r="E15" s="19"/>
      <c r="F15" s="19"/>
      <c r="G15" s="1">
        <v>0</v>
      </c>
      <c r="H15" s="2"/>
      <c r="I15" s="2"/>
      <c r="J15" s="1">
        <v>0</v>
      </c>
      <c r="K15" s="1">
        <v>0</v>
      </c>
      <c r="L15" s="1">
        <v>0</v>
      </c>
      <c r="M15" s="2"/>
      <c r="N15" s="1">
        <v>0</v>
      </c>
      <c r="O15" s="2"/>
      <c r="P15" s="2"/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2"/>
      <c r="W15" s="2"/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2"/>
      <c r="AD15" s="2"/>
      <c r="AE15" s="1">
        <v>0</v>
      </c>
      <c r="AF15" s="1">
        <v>0</v>
      </c>
      <c r="AG15" s="1">
        <v>0</v>
      </c>
      <c r="AH15" s="2"/>
    </row>
    <row r="16" spans="1:34">
      <c r="A16" s="1">
        <v>13</v>
      </c>
      <c r="B16" s="1" t="s">
        <v>16</v>
      </c>
      <c r="C16" s="1">
        <f t="shared" si="0"/>
        <v>0</v>
      </c>
      <c r="D16" s="1">
        <v>0</v>
      </c>
      <c r="E16" s="19"/>
      <c r="F16" s="19"/>
      <c r="G16" s="1">
        <v>0</v>
      </c>
      <c r="H16" s="2"/>
      <c r="I16" s="2"/>
      <c r="J16" s="1">
        <v>0</v>
      </c>
      <c r="K16" s="1">
        <v>0</v>
      </c>
      <c r="L16" s="1">
        <v>0</v>
      </c>
      <c r="M16" s="2"/>
      <c r="N16" s="1">
        <v>0</v>
      </c>
      <c r="O16" s="2"/>
      <c r="P16" s="2"/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/>
      <c r="W16" s="2"/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2"/>
      <c r="AD16" s="2"/>
      <c r="AE16" s="1">
        <v>0</v>
      </c>
      <c r="AF16" s="1">
        <v>0</v>
      </c>
      <c r="AG16" s="1">
        <v>0</v>
      </c>
      <c r="AH16" s="2"/>
    </row>
    <row r="17" spans="1:34">
      <c r="A17" s="1">
        <v>14</v>
      </c>
      <c r="B17" s="1" t="s">
        <v>271</v>
      </c>
      <c r="C17" s="1">
        <f t="shared" si="0"/>
        <v>10</v>
      </c>
      <c r="D17" s="1">
        <v>2</v>
      </c>
      <c r="E17" s="19"/>
      <c r="F17" s="19"/>
      <c r="G17" s="1">
        <v>0</v>
      </c>
      <c r="H17" s="2"/>
      <c r="I17" s="2"/>
      <c r="J17" s="1">
        <v>0</v>
      </c>
      <c r="K17" s="1">
        <v>0</v>
      </c>
      <c r="L17" s="1">
        <v>0</v>
      </c>
      <c r="M17" s="2"/>
      <c r="N17" s="1">
        <v>0</v>
      </c>
      <c r="O17" s="2"/>
      <c r="P17" s="2"/>
      <c r="Q17" s="1">
        <v>0</v>
      </c>
      <c r="R17" s="1">
        <v>0</v>
      </c>
      <c r="S17" s="1">
        <v>0</v>
      </c>
      <c r="T17" s="1">
        <v>2</v>
      </c>
      <c r="U17" s="1">
        <v>0</v>
      </c>
      <c r="V17" s="2"/>
      <c r="W17" s="2"/>
      <c r="X17" s="1">
        <v>0</v>
      </c>
      <c r="Y17" s="1">
        <v>2</v>
      </c>
      <c r="Z17" s="1">
        <v>0</v>
      </c>
      <c r="AA17" s="1">
        <v>0</v>
      </c>
      <c r="AB17" s="1">
        <v>0</v>
      </c>
      <c r="AC17" s="2"/>
      <c r="AD17" s="2"/>
      <c r="AE17" s="1">
        <v>0</v>
      </c>
      <c r="AF17" s="1">
        <v>0</v>
      </c>
      <c r="AG17" s="1">
        <v>0</v>
      </c>
      <c r="AH17" s="2">
        <v>4</v>
      </c>
    </row>
    <row r="18" spans="1:34">
      <c r="A18" s="1">
        <v>15</v>
      </c>
      <c r="B18" s="1" t="s">
        <v>301</v>
      </c>
      <c r="C18" s="1">
        <f t="shared" si="0"/>
        <v>6</v>
      </c>
      <c r="D18" s="1"/>
      <c r="E18" s="19"/>
      <c r="F18" s="19"/>
      <c r="G18" s="1"/>
      <c r="H18" s="2"/>
      <c r="I18" s="2"/>
      <c r="J18" s="1"/>
      <c r="K18" s="1"/>
      <c r="L18" s="1"/>
      <c r="M18" s="2"/>
      <c r="N18" s="1"/>
      <c r="O18" s="2"/>
      <c r="P18" s="2"/>
      <c r="Q18" s="1">
        <v>0</v>
      </c>
      <c r="R18" s="1">
        <v>0</v>
      </c>
      <c r="S18" s="1">
        <v>0</v>
      </c>
      <c r="T18" s="1">
        <v>2</v>
      </c>
      <c r="U18" s="1">
        <v>0</v>
      </c>
      <c r="V18" s="2"/>
      <c r="W18" s="2"/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/>
      <c r="AD18" s="2"/>
      <c r="AE18" s="1">
        <v>0</v>
      </c>
      <c r="AF18" s="1">
        <v>0</v>
      </c>
      <c r="AG18" s="1">
        <v>0</v>
      </c>
      <c r="AH18" s="2">
        <v>4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F55-8B81-486C-8B45-5B9BA2A1DCA1}">
  <dimension ref="A1:AG30"/>
  <sheetViews>
    <sheetView zoomScaleNormal="100" workbookViewId="0">
      <selection activeCell="AE3" sqref="AE3:AE18"/>
    </sheetView>
  </sheetViews>
  <sheetFormatPr baseColWidth="10" defaultColWidth="8.83203125" defaultRowHeight="15"/>
  <cols>
    <col min="3" max="30" width="8.83203125" hidden="1" customWidth="1"/>
    <col min="31" max="33" width="8.83203125" customWidth="1"/>
  </cols>
  <sheetData>
    <row r="1" spans="1:33" ht="27">
      <c r="A1" s="55" t="s">
        <v>0</v>
      </c>
      <c r="B1" s="55"/>
      <c r="C1" s="53">
        <v>45597</v>
      </c>
      <c r="D1" s="53">
        <v>45598</v>
      </c>
      <c r="E1" s="53">
        <v>45599</v>
      </c>
      <c r="F1" s="53">
        <v>45600</v>
      </c>
      <c r="G1" s="53">
        <v>45601</v>
      </c>
      <c r="H1" s="53">
        <v>45602</v>
      </c>
      <c r="I1" s="53">
        <v>45603</v>
      </c>
      <c r="J1" s="53">
        <v>45604</v>
      </c>
      <c r="K1" s="53">
        <v>45605</v>
      </c>
      <c r="L1" s="53">
        <v>45606</v>
      </c>
      <c r="M1" s="53">
        <v>45607</v>
      </c>
      <c r="N1" s="53">
        <v>45608</v>
      </c>
      <c r="O1" s="53">
        <v>45609</v>
      </c>
      <c r="P1" s="53">
        <v>45610</v>
      </c>
      <c r="Q1" s="53">
        <v>45611</v>
      </c>
      <c r="R1" s="53">
        <v>45612</v>
      </c>
      <c r="S1" s="53">
        <v>45613</v>
      </c>
      <c r="T1" s="53">
        <v>45614</v>
      </c>
      <c r="U1" s="53">
        <v>45615</v>
      </c>
      <c r="V1" s="53">
        <v>45616</v>
      </c>
      <c r="W1" s="53">
        <v>45617</v>
      </c>
      <c r="X1" s="53">
        <v>45618</v>
      </c>
      <c r="Y1" s="53">
        <v>45619</v>
      </c>
      <c r="Z1" s="53">
        <v>45620</v>
      </c>
      <c r="AA1" s="53">
        <v>45621</v>
      </c>
      <c r="AB1" s="53">
        <v>45622</v>
      </c>
      <c r="AC1" s="53">
        <v>45623</v>
      </c>
      <c r="AD1" s="53">
        <v>45624</v>
      </c>
      <c r="AE1" s="53">
        <v>45625</v>
      </c>
      <c r="AF1" s="53">
        <v>45626</v>
      </c>
      <c r="AG1" s="53"/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1" t="s">
        <v>27</v>
      </c>
      <c r="D3" s="2"/>
      <c r="E3" s="2"/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2"/>
      <c r="L3" s="2"/>
      <c r="M3" s="1" t="s">
        <v>334</v>
      </c>
      <c r="N3" s="1" t="s">
        <v>27</v>
      </c>
      <c r="O3" s="1" t="s">
        <v>27</v>
      </c>
      <c r="P3" s="1" t="s">
        <v>27</v>
      </c>
      <c r="Q3" s="1" t="s">
        <v>27</v>
      </c>
      <c r="R3" s="2"/>
      <c r="S3" s="2"/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2"/>
      <c r="Z3" s="2"/>
      <c r="AA3" s="24" t="s">
        <v>26</v>
      </c>
      <c r="AB3" s="24" t="s">
        <v>26</v>
      </c>
      <c r="AC3" s="24" t="s">
        <v>26</v>
      </c>
      <c r="AD3" s="24" t="s">
        <v>26</v>
      </c>
      <c r="AE3" s="24" t="s">
        <v>26</v>
      </c>
      <c r="AF3" s="2"/>
      <c r="AG3" s="1"/>
    </row>
    <row r="4" spans="1:33" ht="18">
      <c r="A4" s="1">
        <v>2</v>
      </c>
      <c r="B4" s="1" t="s">
        <v>4</v>
      </c>
      <c r="C4" s="1" t="s">
        <v>275</v>
      </c>
      <c r="D4" s="2"/>
      <c r="E4" s="2"/>
      <c r="F4" s="1" t="s">
        <v>275</v>
      </c>
      <c r="G4" s="1" t="s">
        <v>275</v>
      </c>
      <c r="H4" s="1" t="s">
        <v>275</v>
      </c>
      <c r="I4" s="1" t="s">
        <v>275</v>
      </c>
      <c r="J4" s="1" t="s">
        <v>275</v>
      </c>
      <c r="K4" s="2"/>
      <c r="L4" s="2"/>
      <c r="M4" s="1" t="s">
        <v>334</v>
      </c>
      <c r="N4" s="1" t="s">
        <v>27</v>
      </c>
      <c r="O4" s="1" t="s">
        <v>27</v>
      </c>
      <c r="P4" s="1" t="s">
        <v>27</v>
      </c>
      <c r="Q4" s="1" t="s">
        <v>27</v>
      </c>
      <c r="R4" s="2"/>
      <c r="S4" s="2"/>
      <c r="T4" s="23" t="s">
        <v>41</v>
      </c>
      <c r="U4" s="1" t="s">
        <v>27</v>
      </c>
      <c r="V4" s="1" t="s">
        <v>298</v>
      </c>
      <c r="W4" s="1" t="s">
        <v>27</v>
      </c>
      <c r="X4" s="1" t="s">
        <v>27</v>
      </c>
      <c r="Y4" s="2"/>
      <c r="Z4" s="2"/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2"/>
      <c r="AG4" s="1"/>
    </row>
    <row r="5" spans="1:33">
      <c r="A5" s="1">
        <v>3</v>
      </c>
      <c r="B5" s="1" t="s">
        <v>5</v>
      </c>
      <c r="C5" s="1" t="s">
        <v>77</v>
      </c>
      <c r="D5" s="2"/>
      <c r="E5" s="2"/>
      <c r="F5" s="1" t="s">
        <v>77</v>
      </c>
      <c r="G5" s="1" t="s">
        <v>77</v>
      </c>
      <c r="H5" s="1" t="s">
        <v>77</v>
      </c>
      <c r="I5" s="1" t="s">
        <v>77</v>
      </c>
      <c r="J5" s="1" t="s">
        <v>77</v>
      </c>
      <c r="K5" s="2"/>
      <c r="L5" s="2"/>
      <c r="M5" s="1" t="s">
        <v>334</v>
      </c>
      <c r="N5" s="1" t="s">
        <v>27</v>
      </c>
      <c r="O5" s="1" t="s">
        <v>27</v>
      </c>
      <c r="P5" s="1" t="s">
        <v>27</v>
      </c>
      <c r="Q5" s="1" t="s">
        <v>27</v>
      </c>
      <c r="R5" s="2"/>
      <c r="S5" s="2"/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2"/>
      <c r="Z5" s="2"/>
      <c r="AA5" s="1" t="s">
        <v>27</v>
      </c>
      <c r="AB5" s="1" t="s">
        <v>27</v>
      </c>
      <c r="AC5" s="1" t="s">
        <v>27</v>
      </c>
      <c r="AD5" s="1" t="s">
        <v>27</v>
      </c>
      <c r="AE5" s="1" t="s">
        <v>27</v>
      </c>
      <c r="AF5" s="2"/>
      <c r="AG5" s="1"/>
    </row>
    <row r="6" spans="1:33" ht="18">
      <c r="A6" s="1">
        <v>4</v>
      </c>
      <c r="B6" s="1" t="s">
        <v>6</v>
      </c>
      <c r="C6" s="1" t="s">
        <v>77</v>
      </c>
      <c r="D6" s="2"/>
      <c r="E6" s="2"/>
      <c r="F6" s="1" t="s">
        <v>77</v>
      </c>
      <c r="G6" s="1" t="s">
        <v>77</v>
      </c>
      <c r="H6" s="1" t="s">
        <v>77</v>
      </c>
      <c r="I6" s="1" t="s">
        <v>77</v>
      </c>
      <c r="J6" s="1" t="s">
        <v>77</v>
      </c>
      <c r="K6" s="2"/>
      <c r="L6" s="2"/>
      <c r="M6" s="1" t="s">
        <v>27</v>
      </c>
      <c r="N6" s="1" t="s">
        <v>27</v>
      </c>
      <c r="O6" s="1" t="s">
        <v>27</v>
      </c>
      <c r="P6" s="1" t="s">
        <v>27</v>
      </c>
      <c r="Q6" s="1" t="s">
        <v>27</v>
      </c>
      <c r="R6" s="2"/>
      <c r="S6" s="2"/>
      <c r="T6" s="1" t="s">
        <v>27</v>
      </c>
      <c r="U6" s="1" t="s">
        <v>27</v>
      </c>
      <c r="V6" s="1" t="s">
        <v>27</v>
      </c>
      <c r="W6" s="1" t="s">
        <v>331</v>
      </c>
      <c r="X6" s="1" t="s">
        <v>26</v>
      </c>
      <c r="Y6" s="2"/>
      <c r="Z6" s="2"/>
      <c r="AA6" s="1" t="s">
        <v>26</v>
      </c>
      <c r="AB6" s="1" t="s">
        <v>26</v>
      </c>
      <c r="AC6" s="1" t="s">
        <v>26</v>
      </c>
      <c r="AD6" s="1" t="s">
        <v>26</v>
      </c>
      <c r="AE6" s="1" t="s">
        <v>26</v>
      </c>
      <c r="AF6" s="2"/>
      <c r="AG6" s="1"/>
    </row>
    <row r="7" spans="1:33">
      <c r="A7" s="1">
        <v>5</v>
      </c>
      <c r="B7" s="1" t="s">
        <v>7</v>
      </c>
      <c r="C7" s="24" t="s">
        <v>26</v>
      </c>
      <c r="D7" s="2"/>
      <c r="E7" s="2"/>
      <c r="F7" s="24" t="s">
        <v>26</v>
      </c>
      <c r="G7" s="24" t="s">
        <v>26</v>
      </c>
      <c r="H7" s="24" t="s">
        <v>26</v>
      </c>
      <c r="I7" s="24" t="s">
        <v>26</v>
      </c>
      <c r="J7" s="24" t="s">
        <v>26</v>
      </c>
      <c r="K7" s="2"/>
      <c r="L7" s="2"/>
      <c r="M7" s="24" t="s">
        <v>26</v>
      </c>
      <c r="N7" s="1" t="s">
        <v>27</v>
      </c>
      <c r="O7" s="1" t="s">
        <v>27</v>
      </c>
      <c r="P7" s="1" t="s">
        <v>27</v>
      </c>
      <c r="Q7" s="1" t="s">
        <v>27</v>
      </c>
      <c r="R7" s="2"/>
      <c r="S7" s="2"/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2"/>
      <c r="Z7" s="2"/>
      <c r="AA7" s="1" t="s">
        <v>27</v>
      </c>
      <c r="AB7" s="1" t="s">
        <v>27</v>
      </c>
      <c r="AC7" s="1" t="s">
        <v>27</v>
      </c>
      <c r="AD7" s="1" t="s">
        <v>27</v>
      </c>
      <c r="AE7" s="1" t="s">
        <v>27</v>
      </c>
      <c r="AF7" s="26"/>
      <c r="AG7" s="24"/>
    </row>
    <row r="8" spans="1:33">
      <c r="A8" s="1">
        <v>6</v>
      </c>
      <c r="B8" s="1" t="s">
        <v>8</v>
      </c>
      <c r="C8" s="1" t="s">
        <v>77</v>
      </c>
      <c r="D8" s="2"/>
      <c r="E8" s="2"/>
      <c r="F8" s="1" t="s">
        <v>77</v>
      </c>
      <c r="G8" s="1" t="s">
        <v>77</v>
      </c>
      <c r="H8" s="1" t="s">
        <v>77</v>
      </c>
      <c r="I8" s="1" t="s">
        <v>77</v>
      </c>
      <c r="J8" s="1" t="s">
        <v>77</v>
      </c>
      <c r="K8" s="2"/>
      <c r="L8" s="2"/>
      <c r="M8" s="1" t="s">
        <v>335</v>
      </c>
      <c r="N8" s="1" t="s">
        <v>27</v>
      </c>
      <c r="O8" s="1" t="s">
        <v>27</v>
      </c>
      <c r="P8" s="1" t="s">
        <v>27</v>
      </c>
      <c r="Q8" s="1" t="s">
        <v>27</v>
      </c>
      <c r="R8" s="2"/>
      <c r="S8" s="2"/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2"/>
      <c r="Z8" s="2"/>
      <c r="AA8" s="1" t="s">
        <v>27</v>
      </c>
      <c r="AB8" s="1" t="s">
        <v>27</v>
      </c>
      <c r="AC8" s="1" t="s">
        <v>336</v>
      </c>
      <c r="AD8" s="1" t="s">
        <v>27</v>
      </c>
      <c r="AE8" s="1" t="s">
        <v>27</v>
      </c>
      <c r="AF8" s="2"/>
      <c r="AG8" s="1"/>
    </row>
    <row r="9" spans="1:33">
      <c r="A9" s="1">
        <v>7</v>
      </c>
      <c r="B9" s="1" t="s">
        <v>9</v>
      </c>
      <c r="C9" s="1" t="s">
        <v>77</v>
      </c>
      <c r="D9" s="2"/>
      <c r="E9" s="2"/>
      <c r="F9" s="24" t="s">
        <v>26</v>
      </c>
      <c r="G9" s="24" t="s">
        <v>26</v>
      </c>
      <c r="H9" s="24" t="s">
        <v>26</v>
      </c>
      <c r="I9" s="24" t="s">
        <v>26</v>
      </c>
      <c r="J9" s="24" t="s">
        <v>26</v>
      </c>
      <c r="K9" s="2"/>
      <c r="L9" s="2"/>
      <c r="M9" s="24" t="s">
        <v>26</v>
      </c>
      <c r="N9" s="24" t="s">
        <v>26</v>
      </c>
      <c r="O9" s="24" t="s">
        <v>26</v>
      </c>
      <c r="P9" s="24" t="s">
        <v>26</v>
      </c>
      <c r="Q9" s="24" t="s">
        <v>26</v>
      </c>
      <c r="R9" s="26"/>
      <c r="S9" s="26"/>
      <c r="T9" s="24" t="s">
        <v>26</v>
      </c>
      <c r="U9" s="24" t="s">
        <v>26</v>
      </c>
      <c r="V9" s="24" t="s">
        <v>26</v>
      </c>
      <c r="W9" s="24" t="s">
        <v>26</v>
      </c>
      <c r="X9" s="24" t="s">
        <v>26</v>
      </c>
      <c r="Y9" s="2"/>
      <c r="Z9" s="2"/>
      <c r="AA9" s="24" t="s">
        <v>26</v>
      </c>
      <c r="AB9" s="24" t="s">
        <v>26</v>
      </c>
      <c r="AC9" s="24" t="s">
        <v>26</v>
      </c>
      <c r="AD9" s="24" t="s">
        <v>26</v>
      </c>
      <c r="AE9" s="24" t="s">
        <v>26</v>
      </c>
      <c r="AF9" s="2"/>
      <c r="AG9" s="24"/>
    </row>
    <row r="10" spans="1:33">
      <c r="A10" s="1">
        <v>8</v>
      </c>
      <c r="B10" s="1" t="s">
        <v>10</v>
      </c>
      <c r="C10" s="1" t="s">
        <v>77</v>
      </c>
      <c r="D10" s="2"/>
      <c r="E10" s="2"/>
      <c r="F10" s="1" t="s">
        <v>77</v>
      </c>
      <c r="G10" s="1" t="s">
        <v>77</v>
      </c>
      <c r="H10" s="1" t="s">
        <v>77</v>
      </c>
      <c r="I10" s="1" t="s">
        <v>77</v>
      </c>
      <c r="J10" s="1" t="s">
        <v>77</v>
      </c>
      <c r="K10" s="2"/>
      <c r="L10" s="2"/>
      <c r="M10" s="1" t="s">
        <v>334</v>
      </c>
      <c r="N10" s="1" t="s">
        <v>27</v>
      </c>
      <c r="O10" s="1" t="s">
        <v>27</v>
      </c>
      <c r="P10" s="1" t="s">
        <v>27</v>
      </c>
      <c r="Q10" s="25" t="s">
        <v>275</v>
      </c>
      <c r="R10" s="2"/>
      <c r="S10" s="2"/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2"/>
      <c r="Z10" s="2"/>
      <c r="AA10" s="1" t="s">
        <v>27</v>
      </c>
      <c r="AB10" s="1" t="s">
        <v>27</v>
      </c>
      <c r="AC10" s="1" t="s">
        <v>27</v>
      </c>
      <c r="AD10" s="1" t="s">
        <v>27</v>
      </c>
      <c r="AE10" s="1" t="s">
        <v>27</v>
      </c>
      <c r="AF10" s="2"/>
      <c r="AG10" s="1"/>
    </row>
    <row r="11" spans="1:33" ht="18">
      <c r="A11" s="1">
        <v>9</v>
      </c>
      <c r="B11" s="1" t="s">
        <v>11</v>
      </c>
      <c r="C11" s="1" t="s">
        <v>77</v>
      </c>
      <c r="D11" s="2"/>
      <c r="E11" s="2"/>
      <c r="F11" s="1" t="s">
        <v>77</v>
      </c>
      <c r="G11" s="1" t="s">
        <v>77</v>
      </c>
      <c r="H11" s="1" t="s">
        <v>77</v>
      </c>
      <c r="I11" s="1" t="s">
        <v>77</v>
      </c>
      <c r="J11" s="1" t="s">
        <v>77</v>
      </c>
      <c r="K11" s="2"/>
      <c r="L11" s="2"/>
      <c r="M11" s="1" t="s">
        <v>334</v>
      </c>
      <c r="N11" s="1" t="s">
        <v>27</v>
      </c>
      <c r="O11" s="1" t="s">
        <v>27</v>
      </c>
      <c r="P11" s="1" t="s">
        <v>27</v>
      </c>
      <c r="Q11" s="1" t="s">
        <v>27</v>
      </c>
      <c r="R11" s="2"/>
      <c r="S11" s="2"/>
      <c r="T11" s="28" t="s">
        <v>331</v>
      </c>
      <c r="U11" s="1" t="s">
        <v>27</v>
      </c>
      <c r="V11" s="1" t="s">
        <v>27</v>
      </c>
      <c r="W11" s="1" t="s">
        <v>27</v>
      </c>
      <c r="X11" s="1" t="s">
        <v>27</v>
      </c>
      <c r="Y11" s="2"/>
      <c r="Z11" s="2"/>
      <c r="AA11" s="1" t="s">
        <v>27</v>
      </c>
      <c r="AB11" s="1" t="s">
        <v>27</v>
      </c>
      <c r="AC11" s="1" t="s">
        <v>27</v>
      </c>
      <c r="AD11" s="1" t="s">
        <v>27</v>
      </c>
      <c r="AE11" s="1" t="s">
        <v>27</v>
      </c>
      <c r="AF11" s="2"/>
      <c r="AG11" s="1"/>
    </row>
    <row r="12" spans="1:33" ht="18">
      <c r="A12" s="1">
        <v>10</v>
      </c>
      <c r="B12" s="1" t="s">
        <v>12</v>
      </c>
      <c r="C12" s="28" t="s">
        <v>331</v>
      </c>
      <c r="D12" s="2"/>
      <c r="E12" s="2"/>
      <c r="F12" s="24" t="s">
        <v>26</v>
      </c>
      <c r="G12" s="24" t="s">
        <v>26</v>
      </c>
      <c r="H12" s="24" t="s">
        <v>26</v>
      </c>
      <c r="I12" s="24" t="s">
        <v>26</v>
      </c>
      <c r="J12" s="24" t="s">
        <v>26</v>
      </c>
      <c r="K12" s="2"/>
      <c r="L12" s="2"/>
      <c r="M12" s="24" t="s">
        <v>26</v>
      </c>
      <c r="N12" s="24" t="s">
        <v>26</v>
      </c>
      <c r="O12" s="24" t="s">
        <v>26</v>
      </c>
      <c r="P12" s="24" t="s">
        <v>26</v>
      </c>
      <c r="Q12" s="24" t="s">
        <v>26</v>
      </c>
      <c r="R12" s="26"/>
      <c r="S12" s="26"/>
      <c r="T12" s="24" t="s">
        <v>26</v>
      </c>
      <c r="U12" s="24" t="s">
        <v>26</v>
      </c>
      <c r="V12" s="24" t="s">
        <v>26</v>
      </c>
      <c r="W12" s="24" t="s">
        <v>26</v>
      </c>
      <c r="X12" s="24" t="s">
        <v>26</v>
      </c>
      <c r="Y12" s="2"/>
      <c r="Z12" s="2"/>
      <c r="AA12" s="24" t="s">
        <v>26</v>
      </c>
      <c r="AB12" s="24" t="s">
        <v>26</v>
      </c>
      <c r="AC12" s="24" t="s">
        <v>26</v>
      </c>
      <c r="AD12" s="24" t="s">
        <v>26</v>
      </c>
      <c r="AE12" s="24" t="s">
        <v>26</v>
      </c>
      <c r="AF12" s="2"/>
      <c r="AG12" s="24"/>
    </row>
    <row r="13" spans="1:33">
      <c r="A13" s="1">
        <v>11</v>
      </c>
      <c r="B13" s="1" t="s">
        <v>13</v>
      </c>
      <c r="C13" s="1" t="s">
        <v>77</v>
      </c>
      <c r="D13" s="2"/>
      <c r="E13" s="2"/>
      <c r="F13" s="1" t="s">
        <v>77</v>
      </c>
      <c r="G13" s="1" t="s">
        <v>77</v>
      </c>
      <c r="H13" s="1" t="s">
        <v>77</v>
      </c>
      <c r="I13" s="1" t="s">
        <v>77</v>
      </c>
      <c r="J13" s="1" t="s">
        <v>332</v>
      </c>
      <c r="K13" s="2"/>
      <c r="L13" s="2"/>
      <c r="M13" s="1" t="s">
        <v>334</v>
      </c>
      <c r="N13" s="1" t="s">
        <v>27</v>
      </c>
      <c r="O13" s="1" t="s">
        <v>27</v>
      </c>
      <c r="P13" s="1" t="s">
        <v>27</v>
      </c>
      <c r="Q13" s="1" t="s">
        <v>27</v>
      </c>
      <c r="R13" s="2"/>
      <c r="S13" s="2"/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2"/>
      <c r="Z13" s="2"/>
      <c r="AA13" s="1" t="s">
        <v>27</v>
      </c>
      <c r="AB13" s="1" t="s">
        <v>27</v>
      </c>
      <c r="AC13" s="1" t="s">
        <v>27</v>
      </c>
      <c r="AD13" s="1" t="s">
        <v>27</v>
      </c>
      <c r="AE13" s="1" t="s">
        <v>27</v>
      </c>
      <c r="AF13" s="2"/>
      <c r="AG13" s="1"/>
    </row>
    <row r="14" spans="1:33">
      <c r="A14" s="1">
        <v>12</v>
      </c>
      <c r="B14" s="1" t="s">
        <v>14</v>
      </c>
      <c r="C14" s="1" t="s">
        <v>77</v>
      </c>
      <c r="D14" s="2"/>
      <c r="E14" s="2"/>
      <c r="F14" s="24" t="s">
        <v>26</v>
      </c>
      <c r="G14" s="24" t="s">
        <v>26</v>
      </c>
      <c r="H14" s="24" t="s">
        <v>26</v>
      </c>
      <c r="I14" s="24" t="s">
        <v>26</v>
      </c>
      <c r="J14" s="24" t="s">
        <v>26</v>
      </c>
      <c r="K14" s="2"/>
      <c r="L14" s="2"/>
      <c r="M14" s="24" t="s">
        <v>26</v>
      </c>
      <c r="N14" s="24" t="s">
        <v>26</v>
      </c>
      <c r="O14" s="24" t="s">
        <v>26</v>
      </c>
      <c r="P14" s="24" t="s">
        <v>26</v>
      </c>
      <c r="Q14" s="24" t="s">
        <v>26</v>
      </c>
      <c r="R14" s="26"/>
      <c r="S14" s="26"/>
      <c r="T14" s="24" t="s">
        <v>26</v>
      </c>
      <c r="U14" s="24" t="s">
        <v>26</v>
      </c>
      <c r="V14" s="24" t="s">
        <v>26</v>
      </c>
      <c r="W14" s="24" t="s">
        <v>26</v>
      </c>
      <c r="X14" s="24" t="s">
        <v>26</v>
      </c>
      <c r="Y14" s="2"/>
      <c r="Z14" s="2"/>
      <c r="AA14" s="24" t="s">
        <v>26</v>
      </c>
      <c r="AB14" s="24" t="s">
        <v>26</v>
      </c>
      <c r="AC14" s="24" t="s">
        <v>26</v>
      </c>
      <c r="AD14" s="24" t="s">
        <v>26</v>
      </c>
      <c r="AE14" s="24" t="s">
        <v>26</v>
      </c>
      <c r="AF14" s="2"/>
      <c r="AG14" s="24"/>
    </row>
    <row r="15" spans="1:33" ht="16.25" hidden="1" customHeight="1">
      <c r="A15" s="1">
        <v>13</v>
      </c>
      <c r="B15" s="1" t="s">
        <v>15</v>
      </c>
      <c r="C15" s="1" t="s">
        <v>77</v>
      </c>
      <c r="D15" s="2"/>
      <c r="E15" s="2"/>
      <c r="F15" s="1" t="s">
        <v>77</v>
      </c>
      <c r="G15" s="1"/>
      <c r="H15" s="1"/>
      <c r="I15" s="1"/>
      <c r="J15" s="1"/>
      <c r="K15" s="2"/>
      <c r="L15" s="2"/>
      <c r="M15" s="1"/>
      <c r="N15" s="1"/>
      <c r="O15" s="1"/>
      <c r="P15" s="1"/>
      <c r="Q15" s="1"/>
      <c r="R15" s="2"/>
      <c r="S15" s="2"/>
      <c r="T15" s="1"/>
      <c r="U15" s="1"/>
      <c r="V15" s="1"/>
      <c r="W15" s="1"/>
      <c r="X15" s="1"/>
      <c r="Y15" s="2"/>
      <c r="Z15" s="2"/>
      <c r="AA15" s="1"/>
      <c r="AB15" s="1"/>
      <c r="AC15" s="1"/>
      <c r="AD15" s="1"/>
      <c r="AE15" s="1"/>
      <c r="AF15" s="2"/>
      <c r="AG15" s="1"/>
    </row>
    <row r="16" spans="1:33" ht="18">
      <c r="A16" s="1">
        <v>13</v>
      </c>
      <c r="B16" s="1" t="s">
        <v>16</v>
      </c>
      <c r="C16" s="1" t="s">
        <v>77</v>
      </c>
      <c r="D16" s="2"/>
      <c r="E16" s="2"/>
      <c r="F16" s="1" t="s">
        <v>77</v>
      </c>
      <c r="G16" s="1" t="s">
        <v>77</v>
      </c>
      <c r="H16" s="1" t="s">
        <v>77</v>
      </c>
      <c r="I16" s="1" t="s">
        <v>77</v>
      </c>
      <c r="J16" s="1" t="s">
        <v>77</v>
      </c>
      <c r="K16" s="2"/>
      <c r="L16" s="2"/>
      <c r="M16" s="1" t="s">
        <v>334</v>
      </c>
      <c r="N16" s="1" t="s">
        <v>27</v>
      </c>
      <c r="O16" s="1" t="s">
        <v>27</v>
      </c>
      <c r="P16" s="1" t="s">
        <v>27</v>
      </c>
      <c r="Q16" s="1" t="s">
        <v>27</v>
      </c>
      <c r="R16" s="27"/>
      <c r="S16" s="2"/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2"/>
      <c r="Z16" s="2"/>
      <c r="AA16" s="1" t="s">
        <v>27</v>
      </c>
      <c r="AB16" s="1" t="s">
        <v>27</v>
      </c>
      <c r="AC16" s="1" t="s">
        <v>27</v>
      </c>
      <c r="AD16" s="1" t="s">
        <v>27</v>
      </c>
      <c r="AE16" s="23" t="s">
        <v>337</v>
      </c>
      <c r="AF16" s="2"/>
      <c r="AG16" s="1"/>
    </row>
    <row r="17" spans="1:33" ht="18">
      <c r="A17" s="1">
        <v>14</v>
      </c>
      <c r="B17" s="1" t="s">
        <v>271</v>
      </c>
      <c r="C17" s="24" t="s">
        <v>26</v>
      </c>
      <c r="D17" s="2"/>
      <c r="E17" s="2"/>
      <c r="F17" s="24" t="s">
        <v>26</v>
      </c>
      <c r="G17" s="24" t="s">
        <v>26</v>
      </c>
      <c r="H17" s="24" t="s">
        <v>26</v>
      </c>
      <c r="I17" s="24" t="s">
        <v>26</v>
      </c>
      <c r="J17" s="24" t="s">
        <v>26</v>
      </c>
      <c r="K17" s="2"/>
      <c r="L17" s="2"/>
      <c r="M17" s="24" t="s">
        <v>26</v>
      </c>
      <c r="N17" s="1" t="s">
        <v>27</v>
      </c>
      <c r="O17" s="1" t="s">
        <v>27</v>
      </c>
      <c r="P17" s="1" t="s">
        <v>27</v>
      </c>
      <c r="Q17" s="1" t="s">
        <v>27</v>
      </c>
      <c r="R17" s="2"/>
      <c r="S17" s="2"/>
      <c r="T17" s="1" t="s">
        <v>27</v>
      </c>
      <c r="U17" s="1" t="s">
        <v>27</v>
      </c>
      <c r="V17" s="1" t="s">
        <v>27</v>
      </c>
      <c r="W17" s="1" t="s">
        <v>27</v>
      </c>
      <c r="X17" s="23" t="s">
        <v>23</v>
      </c>
      <c r="Y17" s="2"/>
      <c r="Z17" s="2"/>
      <c r="AA17" s="1" t="s">
        <v>27</v>
      </c>
      <c r="AB17" s="1" t="s">
        <v>27</v>
      </c>
      <c r="AC17" s="1" t="s">
        <v>27</v>
      </c>
      <c r="AD17" s="1" t="s">
        <v>27</v>
      </c>
      <c r="AE17" s="1" t="s">
        <v>27</v>
      </c>
      <c r="AF17" s="26"/>
      <c r="AG17" s="24"/>
    </row>
    <row r="18" spans="1:33">
      <c r="A18" s="1">
        <v>15</v>
      </c>
      <c r="B18" s="1" t="s">
        <v>301</v>
      </c>
      <c r="C18" s="24" t="s">
        <v>26</v>
      </c>
      <c r="D18" s="2"/>
      <c r="E18" s="2"/>
      <c r="F18" s="24" t="s">
        <v>26</v>
      </c>
      <c r="G18" s="24" t="s">
        <v>26</v>
      </c>
      <c r="H18" s="24" t="s">
        <v>26</v>
      </c>
      <c r="I18" s="24" t="s">
        <v>26</v>
      </c>
      <c r="J18" s="24" t="s">
        <v>26</v>
      </c>
      <c r="K18" s="2"/>
      <c r="L18" s="2"/>
      <c r="M18" s="24" t="s">
        <v>26</v>
      </c>
      <c r="N18" s="1" t="s">
        <v>27</v>
      </c>
      <c r="O18" s="1" t="s">
        <v>27</v>
      </c>
      <c r="P18" s="1" t="s">
        <v>27</v>
      </c>
      <c r="Q18" s="1" t="s">
        <v>27</v>
      </c>
      <c r="R18" s="2"/>
      <c r="S18" s="2"/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2"/>
      <c r="Z18" s="2"/>
      <c r="AA18" s="1" t="s">
        <v>27</v>
      </c>
      <c r="AB18" s="1" t="s">
        <v>27</v>
      </c>
      <c r="AC18" s="1" t="s">
        <v>27</v>
      </c>
      <c r="AD18" s="1" t="s">
        <v>27</v>
      </c>
      <c r="AE18" s="1" t="s">
        <v>27</v>
      </c>
      <c r="AF18" s="26"/>
      <c r="AG18" s="24"/>
    </row>
    <row r="19" spans="1:33" hidden="1">
      <c r="A19" s="1"/>
      <c r="B19" s="1" t="s">
        <v>333</v>
      </c>
      <c r="C19" s="24"/>
      <c r="D19" s="2"/>
      <c r="E19" s="2"/>
      <c r="F19" s="24"/>
      <c r="G19" s="24"/>
      <c r="H19" s="24"/>
      <c r="I19" s="24"/>
      <c r="J19" s="24"/>
      <c r="K19" s="2"/>
      <c r="L19" s="2"/>
      <c r="M19" s="1" t="s">
        <v>334</v>
      </c>
      <c r="N19" s="1" t="s">
        <v>27</v>
      </c>
      <c r="O19" s="1" t="s">
        <v>27</v>
      </c>
      <c r="P19" s="1" t="s">
        <v>27</v>
      </c>
      <c r="Q19" s="1" t="s">
        <v>27</v>
      </c>
      <c r="R19" s="2"/>
      <c r="S19" s="2"/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2"/>
      <c r="Z19" s="2"/>
      <c r="AA19" s="24" t="s">
        <v>26</v>
      </c>
      <c r="AB19" s="1"/>
      <c r="AC19" s="1"/>
      <c r="AD19" s="24"/>
      <c r="AE19" s="24"/>
      <c r="AF19" s="26"/>
      <c r="AG19" s="24"/>
    </row>
    <row r="20" spans="1:33" ht="18">
      <c r="A20" s="31" t="s">
        <v>27</v>
      </c>
      <c r="B20" t="s">
        <v>24</v>
      </c>
    </row>
    <row r="21" spans="1:33">
      <c r="A21" s="4" t="s">
        <v>182</v>
      </c>
      <c r="B21" t="s">
        <v>25</v>
      </c>
    </row>
    <row r="22" spans="1:33">
      <c r="A22" s="8" t="s">
        <v>41</v>
      </c>
      <c r="B22" s="7" t="s">
        <v>40</v>
      </c>
    </row>
    <row r="24" spans="1:33">
      <c r="A24" s="13" t="s">
        <v>169</v>
      </c>
    </row>
    <row r="25" spans="1:33">
      <c r="A25" s="14" t="s">
        <v>170</v>
      </c>
    </row>
    <row r="26" spans="1:33">
      <c r="A26" s="14" t="s">
        <v>171</v>
      </c>
    </row>
    <row r="27" spans="1:33">
      <c r="A27" s="14" t="s">
        <v>167</v>
      </c>
    </row>
    <row r="28" spans="1:33">
      <c r="A28" s="14" t="s">
        <v>172</v>
      </c>
    </row>
    <row r="29" spans="1:33">
      <c r="A29" s="14" t="s">
        <v>173</v>
      </c>
    </row>
    <row r="30" spans="1:33">
      <c r="A30" s="14" t="s">
        <v>168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8D45-5D4E-4EB5-9E58-1C1E0A4A0379}">
  <sheetPr>
    <tabColor rgb="FFFF0000"/>
  </sheetPr>
  <dimension ref="A1:AH19"/>
  <sheetViews>
    <sheetView workbookViewId="0">
      <selection activeCell="AL12" sqref="AL12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1" width="8.83203125" hidden="1" customWidth="1"/>
    <col min="32" max="33" width="8.83203125" customWidth="1"/>
  </cols>
  <sheetData>
    <row r="1" spans="1:34" ht="27">
      <c r="A1" s="57" t="s">
        <v>17</v>
      </c>
      <c r="B1" s="57"/>
      <c r="C1" s="43" t="s">
        <v>322</v>
      </c>
      <c r="D1" s="53">
        <v>45597</v>
      </c>
      <c r="E1" s="53">
        <v>45598</v>
      </c>
      <c r="F1" s="53">
        <v>45599</v>
      </c>
      <c r="G1" s="53">
        <v>45600</v>
      </c>
      <c r="H1" s="53">
        <v>45601</v>
      </c>
      <c r="I1" s="53">
        <v>45602</v>
      </c>
      <c r="J1" s="53">
        <v>45603</v>
      </c>
      <c r="K1" s="53">
        <v>45604</v>
      </c>
      <c r="L1" s="53">
        <v>45605</v>
      </c>
      <c r="M1" s="53">
        <v>45606</v>
      </c>
      <c r="N1" s="53">
        <v>45607</v>
      </c>
      <c r="O1" s="53">
        <v>45608</v>
      </c>
      <c r="P1" s="53">
        <v>45609</v>
      </c>
      <c r="Q1" s="53">
        <v>45610</v>
      </c>
      <c r="R1" s="53">
        <v>45611</v>
      </c>
      <c r="S1" s="53">
        <v>45612</v>
      </c>
      <c r="T1" s="53">
        <v>45613</v>
      </c>
      <c r="U1" s="53">
        <v>45614</v>
      </c>
      <c r="V1" s="53">
        <v>45615</v>
      </c>
      <c r="W1" s="53">
        <v>45616</v>
      </c>
      <c r="X1" s="53">
        <v>45617</v>
      </c>
      <c r="Y1" s="53">
        <v>45618</v>
      </c>
      <c r="Z1" s="53">
        <v>45619</v>
      </c>
      <c r="AA1" s="53">
        <v>45620</v>
      </c>
      <c r="AB1" s="53">
        <v>45621</v>
      </c>
      <c r="AC1" s="53">
        <v>45622</v>
      </c>
      <c r="AD1" s="53">
        <v>45623</v>
      </c>
      <c r="AE1" s="53">
        <v>45624</v>
      </c>
      <c r="AF1" s="53">
        <v>45625</v>
      </c>
      <c r="AG1" s="53">
        <v>45626</v>
      </c>
      <c r="AH1" s="53"/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2"/>
      <c r="F3" s="2"/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2"/>
      <c r="N3" s="1">
        <v>0</v>
      </c>
      <c r="O3" s="1">
        <v>0</v>
      </c>
      <c r="P3" s="1">
        <v>0</v>
      </c>
      <c r="Q3" s="1">
        <v>0</v>
      </c>
      <c r="R3" s="1">
        <v>0</v>
      </c>
      <c r="S3" s="2"/>
      <c r="T3" s="2"/>
      <c r="U3" s="1">
        <v>0</v>
      </c>
      <c r="V3" s="1">
        <v>0</v>
      </c>
      <c r="W3" s="1">
        <v>0</v>
      </c>
      <c r="X3" s="1">
        <v>0</v>
      </c>
      <c r="Y3" s="1">
        <v>0</v>
      </c>
      <c r="Z3" s="2"/>
      <c r="AA3" s="2"/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2"/>
      <c r="AH3" s="1"/>
    </row>
    <row r="4" spans="1:34">
      <c r="A4" s="1">
        <v>2</v>
      </c>
      <c r="B4" s="1" t="s">
        <v>4</v>
      </c>
      <c r="C4" s="1">
        <f t="shared" ref="C4:C18" si="0">SUM(D4:AH4)</f>
        <v>11</v>
      </c>
      <c r="D4" s="1">
        <v>0</v>
      </c>
      <c r="E4" s="2"/>
      <c r="F4" s="2"/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2"/>
      <c r="N4" s="1">
        <v>0</v>
      </c>
      <c r="O4" s="1">
        <v>0</v>
      </c>
      <c r="P4" s="1">
        <v>0</v>
      </c>
      <c r="Q4" s="1">
        <v>0</v>
      </c>
      <c r="R4" s="1">
        <v>0</v>
      </c>
      <c r="S4" s="2"/>
      <c r="T4" s="2"/>
      <c r="U4" s="1">
        <v>1</v>
      </c>
      <c r="V4" s="1">
        <v>0</v>
      </c>
      <c r="W4" s="1">
        <v>1</v>
      </c>
      <c r="X4" s="1">
        <v>0</v>
      </c>
      <c r="Y4" s="1">
        <v>0</v>
      </c>
      <c r="Z4" s="2"/>
      <c r="AA4" s="2"/>
      <c r="AB4" s="1">
        <v>0</v>
      </c>
      <c r="AC4" s="1">
        <v>4</v>
      </c>
      <c r="AD4" s="1">
        <v>0</v>
      </c>
      <c r="AE4" s="1">
        <v>5</v>
      </c>
      <c r="AF4" s="1">
        <v>0</v>
      </c>
      <c r="AG4" s="2"/>
      <c r="AH4" s="1"/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2"/>
      <c r="F5" s="2"/>
      <c r="G5" s="1">
        <v>0</v>
      </c>
      <c r="H5" s="1">
        <v>0</v>
      </c>
      <c r="I5" s="1">
        <v>0</v>
      </c>
      <c r="J5" s="1">
        <v>0</v>
      </c>
      <c r="K5" s="1">
        <v>0</v>
      </c>
      <c r="L5" s="2"/>
      <c r="M5" s="2"/>
      <c r="N5" s="1">
        <v>0</v>
      </c>
      <c r="O5" s="1">
        <v>0</v>
      </c>
      <c r="P5" s="1">
        <v>0</v>
      </c>
      <c r="Q5" s="1">
        <v>0</v>
      </c>
      <c r="R5" s="1">
        <v>0</v>
      </c>
      <c r="S5" s="2"/>
      <c r="T5" s="2"/>
      <c r="U5" s="1">
        <v>0</v>
      </c>
      <c r="V5" s="1">
        <v>0</v>
      </c>
      <c r="W5" s="1">
        <v>0</v>
      </c>
      <c r="X5" s="1">
        <v>0</v>
      </c>
      <c r="Y5" s="1">
        <v>0</v>
      </c>
      <c r="Z5" s="2"/>
      <c r="AA5" s="2"/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2"/>
      <c r="AH5" s="1"/>
    </row>
    <row r="6" spans="1:34">
      <c r="A6" s="1">
        <v>4</v>
      </c>
      <c r="B6" s="1" t="s">
        <v>6</v>
      </c>
      <c r="C6" s="1">
        <f t="shared" si="0"/>
        <v>16</v>
      </c>
      <c r="D6" s="1">
        <v>0</v>
      </c>
      <c r="E6" s="2"/>
      <c r="F6" s="2"/>
      <c r="G6" s="1">
        <v>0</v>
      </c>
      <c r="H6" s="1">
        <v>0</v>
      </c>
      <c r="I6" s="1">
        <v>0</v>
      </c>
      <c r="J6" s="1">
        <v>0</v>
      </c>
      <c r="K6" s="1">
        <v>0</v>
      </c>
      <c r="L6" s="2"/>
      <c r="M6" s="2"/>
      <c r="N6" s="1">
        <v>0</v>
      </c>
      <c r="O6" s="1">
        <v>0</v>
      </c>
      <c r="P6" s="1">
        <v>0</v>
      </c>
      <c r="Q6" s="1">
        <v>0</v>
      </c>
      <c r="R6" s="1">
        <v>0</v>
      </c>
      <c r="S6" s="2"/>
      <c r="T6" s="2"/>
      <c r="U6" s="1">
        <v>0</v>
      </c>
      <c r="V6" s="1">
        <v>0</v>
      </c>
      <c r="W6" s="1">
        <v>0</v>
      </c>
      <c r="X6" s="1">
        <v>16</v>
      </c>
      <c r="Y6" s="1">
        <v>0</v>
      </c>
      <c r="Z6" s="2"/>
      <c r="AA6" s="2"/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2"/>
      <c r="AH6" s="1"/>
    </row>
    <row r="7" spans="1:34">
      <c r="A7" s="1">
        <v>5</v>
      </c>
      <c r="B7" s="1" t="s">
        <v>7</v>
      </c>
      <c r="C7" s="1">
        <f t="shared" si="0"/>
        <v>0</v>
      </c>
      <c r="D7" s="1">
        <v>0</v>
      </c>
      <c r="E7" s="2"/>
      <c r="F7" s="2"/>
      <c r="G7" s="1">
        <v>0</v>
      </c>
      <c r="H7" s="1">
        <v>0</v>
      </c>
      <c r="I7" s="1">
        <v>0</v>
      </c>
      <c r="J7" s="1">
        <v>0</v>
      </c>
      <c r="K7" s="1">
        <v>0</v>
      </c>
      <c r="L7" s="2"/>
      <c r="M7" s="2"/>
      <c r="N7" s="1">
        <v>0</v>
      </c>
      <c r="O7" s="1">
        <v>0</v>
      </c>
      <c r="P7" s="1">
        <v>0</v>
      </c>
      <c r="Q7" s="1">
        <v>0</v>
      </c>
      <c r="R7" s="1">
        <v>0</v>
      </c>
      <c r="S7" s="2"/>
      <c r="T7" s="2"/>
      <c r="U7" s="1">
        <v>0</v>
      </c>
      <c r="V7" s="1">
        <v>0</v>
      </c>
      <c r="W7" s="1">
        <v>0</v>
      </c>
      <c r="X7" s="1">
        <v>0</v>
      </c>
      <c r="Y7" s="1">
        <v>0</v>
      </c>
      <c r="Z7" s="2"/>
      <c r="AA7" s="2"/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6"/>
      <c r="AH7" s="24"/>
    </row>
    <row r="8" spans="1:34">
      <c r="A8" s="1">
        <v>6</v>
      </c>
      <c r="B8" s="1" t="s">
        <v>8</v>
      </c>
      <c r="C8" s="1">
        <f t="shared" si="0"/>
        <v>32</v>
      </c>
      <c r="D8" s="1">
        <v>0</v>
      </c>
      <c r="E8" s="2"/>
      <c r="F8" s="2"/>
      <c r="G8" s="1">
        <v>0</v>
      </c>
      <c r="H8" s="1">
        <v>0</v>
      </c>
      <c r="I8" s="1">
        <v>0</v>
      </c>
      <c r="J8" s="1">
        <v>0</v>
      </c>
      <c r="K8" s="1">
        <v>0</v>
      </c>
      <c r="L8" s="2"/>
      <c r="M8" s="2"/>
      <c r="N8" s="1">
        <v>16</v>
      </c>
      <c r="O8" s="1">
        <v>0</v>
      </c>
      <c r="P8" s="1">
        <v>0</v>
      </c>
      <c r="Q8" s="1">
        <v>0</v>
      </c>
      <c r="R8" s="1">
        <v>0</v>
      </c>
      <c r="S8" s="2"/>
      <c r="T8" s="2"/>
      <c r="U8" s="1">
        <v>0</v>
      </c>
      <c r="V8" s="1">
        <v>0</v>
      </c>
      <c r="W8" s="1">
        <v>0</v>
      </c>
      <c r="X8" s="1">
        <v>0</v>
      </c>
      <c r="Y8" s="1">
        <v>0</v>
      </c>
      <c r="Z8" s="2"/>
      <c r="AA8" s="2"/>
      <c r="AB8" s="1">
        <v>0</v>
      </c>
      <c r="AC8" s="1">
        <v>0</v>
      </c>
      <c r="AD8" s="1">
        <v>16</v>
      </c>
      <c r="AE8" s="1">
        <v>0</v>
      </c>
      <c r="AF8" s="1">
        <v>0</v>
      </c>
      <c r="AG8" s="2"/>
      <c r="AH8" s="1"/>
    </row>
    <row r="9" spans="1:34">
      <c r="A9" s="1">
        <v>7</v>
      </c>
      <c r="B9" s="1" t="s">
        <v>9</v>
      </c>
      <c r="C9" s="1">
        <f t="shared" si="0"/>
        <v>2</v>
      </c>
      <c r="D9" s="1">
        <v>2</v>
      </c>
      <c r="E9" s="2"/>
      <c r="F9" s="2"/>
      <c r="G9" s="1">
        <v>0</v>
      </c>
      <c r="H9" s="1">
        <v>0</v>
      </c>
      <c r="I9" s="1">
        <v>0</v>
      </c>
      <c r="J9" s="1">
        <v>0</v>
      </c>
      <c r="K9" s="1">
        <v>0</v>
      </c>
      <c r="L9" s="2"/>
      <c r="M9" s="2"/>
      <c r="N9" s="1">
        <v>0</v>
      </c>
      <c r="O9" s="1">
        <v>0</v>
      </c>
      <c r="P9" s="1">
        <v>0</v>
      </c>
      <c r="Q9" s="1">
        <v>0</v>
      </c>
      <c r="R9" s="1">
        <v>0</v>
      </c>
      <c r="S9" s="2"/>
      <c r="T9" s="2"/>
      <c r="U9" s="1">
        <v>0</v>
      </c>
      <c r="V9" s="1">
        <v>0</v>
      </c>
      <c r="W9" s="1">
        <v>0</v>
      </c>
      <c r="X9" s="1">
        <v>0</v>
      </c>
      <c r="Y9" s="1">
        <v>0</v>
      </c>
      <c r="Z9" s="2"/>
      <c r="AA9" s="2"/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2"/>
      <c r="AH9" s="1"/>
    </row>
    <row r="10" spans="1:34">
      <c r="A10" s="1">
        <v>8</v>
      </c>
      <c r="B10" s="1" t="s">
        <v>10</v>
      </c>
      <c r="C10" s="1">
        <f t="shared" si="0"/>
        <v>8</v>
      </c>
      <c r="D10" s="1">
        <v>0</v>
      </c>
      <c r="E10" s="2"/>
      <c r="F10" s="2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2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/>
      <c r="T10" s="2"/>
      <c r="U10" s="1">
        <v>0</v>
      </c>
      <c r="V10" s="1">
        <v>8</v>
      </c>
      <c r="W10" s="1">
        <v>0</v>
      </c>
      <c r="X10" s="1">
        <v>0</v>
      </c>
      <c r="Y10" s="1">
        <v>0</v>
      </c>
      <c r="Z10" s="2"/>
      <c r="AA10" s="2"/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"/>
      <c r="AH10" s="1"/>
    </row>
    <row r="11" spans="1:34">
      <c r="A11" s="1">
        <v>9</v>
      </c>
      <c r="B11" s="1" t="s">
        <v>11</v>
      </c>
      <c r="C11" s="1">
        <f t="shared" si="0"/>
        <v>16</v>
      </c>
      <c r="D11" s="1">
        <v>0</v>
      </c>
      <c r="E11" s="2"/>
      <c r="F11" s="2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/>
      <c r="M11" s="2"/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/>
      <c r="T11" s="2"/>
      <c r="U11" s="1">
        <v>8</v>
      </c>
      <c r="V11" s="1">
        <v>0</v>
      </c>
      <c r="W11" s="1">
        <v>0</v>
      </c>
      <c r="X11" s="1">
        <v>0</v>
      </c>
      <c r="Y11" s="1">
        <v>0</v>
      </c>
      <c r="Z11" s="2"/>
      <c r="AA11" s="2"/>
      <c r="AB11" s="1">
        <v>0</v>
      </c>
      <c r="AC11" s="1">
        <v>8</v>
      </c>
      <c r="AD11" s="1">
        <v>0</v>
      </c>
      <c r="AE11" s="1">
        <v>0</v>
      </c>
      <c r="AF11" s="1">
        <v>0</v>
      </c>
      <c r="AG11" s="2"/>
      <c r="AH11" s="1"/>
    </row>
    <row r="12" spans="1:34">
      <c r="A12" s="1">
        <v>10</v>
      </c>
      <c r="B12" s="1" t="s">
        <v>12</v>
      </c>
      <c r="C12" s="1">
        <f t="shared" si="0"/>
        <v>16</v>
      </c>
      <c r="D12" s="1">
        <v>16</v>
      </c>
      <c r="E12" s="2"/>
      <c r="F12" s="2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/>
      <c r="M12" s="2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/>
      <c r="T12" s="2"/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2"/>
      <c r="AA12" s="2"/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"/>
      <c r="AH12" s="1"/>
    </row>
    <row r="13" spans="1:34">
      <c r="A13" s="1">
        <v>11</v>
      </c>
      <c r="B13" s="1" t="s">
        <v>13</v>
      </c>
      <c r="C13" s="1">
        <f t="shared" si="0"/>
        <v>18</v>
      </c>
      <c r="D13" s="1">
        <v>0</v>
      </c>
      <c r="E13" s="2"/>
      <c r="F13" s="2"/>
      <c r="G13" s="1">
        <v>0</v>
      </c>
      <c r="H13" s="1">
        <v>0</v>
      </c>
      <c r="I13" s="1">
        <v>0</v>
      </c>
      <c r="J13" s="1">
        <v>0</v>
      </c>
      <c r="K13" s="1">
        <v>16</v>
      </c>
      <c r="L13" s="2"/>
      <c r="M13" s="2"/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/>
      <c r="T13" s="2"/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/>
      <c r="AA13" s="2"/>
      <c r="AB13" s="1">
        <v>0</v>
      </c>
      <c r="AC13" s="1">
        <v>0</v>
      </c>
      <c r="AD13" s="1">
        <v>0</v>
      </c>
      <c r="AE13" s="1">
        <v>0</v>
      </c>
      <c r="AF13" s="1">
        <v>2</v>
      </c>
      <c r="AG13" s="2"/>
      <c r="AH13" s="1"/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2"/>
      <c r="F14" s="2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/>
      <c r="M14" s="2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/>
      <c r="T14" s="2"/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2"/>
      <c r="AA14" s="2"/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2"/>
      <c r="AH14" s="1"/>
    </row>
    <row r="15" spans="1:34" ht="16.25" hidden="1" customHeight="1">
      <c r="A15" s="1">
        <v>13</v>
      </c>
      <c r="B15" s="1" t="s">
        <v>15</v>
      </c>
      <c r="C15" s="1">
        <f t="shared" si="0"/>
        <v>0</v>
      </c>
      <c r="D15" s="1">
        <v>0</v>
      </c>
      <c r="E15" s="2"/>
      <c r="F15" s="2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/>
      <c r="M15" s="2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/>
      <c r="T15" s="2"/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2"/>
      <c r="AA15" s="2"/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2"/>
      <c r="AH15" s="1"/>
    </row>
    <row r="16" spans="1:34">
      <c r="A16" s="1">
        <v>13</v>
      </c>
      <c r="B16" s="1" t="s">
        <v>16</v>
      </c>
      <c r="C16" s="1">
        <f t="shared" si="0"/>
        <v>1</v>
      </c>
      <c r="D16" s="1">
        <v>0</v>
      </c>
      <c r="E16" s="2"/>
      <c r="F16" s="2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/>
      <c r="M16" s="2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7"/>
      <c r="T16" s="2"/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2"/>
      <c r="AA16" s="2"/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2"/>
      <c r="AH16" s="1"/>
    </row>
    <row r="17" spans="1:34">
      <c r="A17" s="1">
        <v>14</v>
      </c>
      <c r="B17" s="1" t="s">
        <v>271</v>
      </c>
      <c r="C17" s="1">
        <f t="shared" si="0"/>
        <v>16</v>
      </c>
      <c r="D17" s="1">
        <v>0</v>
      </c>
      <c r="E17" s="2"/>
      <c r="F17" s="2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/>
      <c r="M17" s="2"/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/>
      <c r="T17" s="2"/>
      <c r="U17" s="1">
        <v>0</v>
      </c>
      <c r="V17" s="1">
        <v>0</v>
      </c>
      <c r="W17" s="1">
        <v>0</v>
      </c>
      <c r="X17" s="1">
        <v>0</v>
      </c>
      <c r="Y17" s="1">
        <v>16</v>
      </c>
      <c r="Z17" s="2"/>
      <c r="AA17" s="2"/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6"/>
      <c r="AH17" s="24"/>
    </row>
    <row r="18" spans="1:34">
      <c r="A18" s="1">
        <v>15</v>
      </c>
      <c r="B18" s="1" t="s">
        <v>301</v>
      </c>
      <c r="C18" s="1">
        <f t="shared" si="0"/>
        <v>0</v>
      </c>
      <c r="D18" s="1">
        <v>0</v>
      </c>
      <c r="E18" s="2"/>
      <c r="F18" s="2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/>
      <c r="M18" s="2"/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/>
      <c r="T18" s="2"/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2"/>
      <c r="AA18" s="2"/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26"/>
      <c r="AH18" s="24"/>
    </row>
    <row r="19" spans="1:34" hidden="1">
      <c r="A19" s="1"/>
      <c r="B19" s="1" t="s">
        <v>333</v>
      </c>
      <c r="C19" s="1">
        <f t="shared" ref="C19" si="1">SUM(D19:AH19)</f>
        <v>0</v>
      </c>
      <c r="D19" s="1"/>
      <c r="E19" s="2"/>
      <c r="F19" s="2"/>
      <c r="G19" s="1"/>
      <c r="H19" s="1"/>
      <c r="I19" s="1"/>
      <c r="J19" s="1"/>
      <c r="K19" s="1"/>
      <c r="L19" s="2"/>
      <c r="M19" s="2"/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/>
      <c r="T19" s="2"/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2"/>
      <c r="AA19" s="2"/>
      <c r="AB19" s="1">
        <v>0</v>
      </c>
      <c r="AC19" s="1"/>
      <c r="AD19" s="1"/>
      <c r="AE19" s="24"/>
      <c r="AF19" s="24"/>
      <c r="AG19" s="26"/>
      <c r="AH19" s="24"/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5263-2295-4241-A78D-A5B63EB122C3}">
  <sheetPr>
    <tabColor rgb="FF92D050"/>
    <pageSetUpPr fitToPage="1"/>
  </sheetPr>
  <dimension ref="A1:AH19"/>
  <sheetViews>
    <sheetView workbookViewId="0">
      <selection activeCell="I16" sqref="I16"/>
    </sheetView>
  </sheetViews>
  <sheetFormatPr baseColWidth="10" defaultColWidth="8.83203125" defaultRowHeight="15"/>
  <cols>
    <col min="3" max="3" width="15.33203125" customWidth="1"/>
    <col min="4" max="34" width="8.83203125" customWidth="1"/>
    <col min="35" max="35" width="0" hidden="1" customWidth="1"/>
  </cols>
  <sheetData>
    <row r="1" spans="1:34" ht="28.25" customHeight="1">
      <c r="A1" s="59" t="s">
        <v>19</v>
      </c>
      <c r="B1" s="59"/>
      <c r="C1" s="37" t="s">
        <v>322</v>
      </c>
      <c r="D1" s="53">
        <v>45597</v>
      </c>
      <c r="E1" s="53">
        <v>45598</v>
      </c>
      <c r="F1" s="53">
        <v>45599</v>
      </c>
      <c r="G1" s="53">
        <v>45600</v>
      </c>
      <c r="H1" s="53">
        <v>45601</v>
      </c>
      <c r="I1" s="53">
        <v>45602</v>
      </c>
      <c r="J1" s="53">
        <v>45603</v>
      </c>
      <c r="K1" s="53">
        <v>45604</v>
      </c>
      <c r="L1" s="53">
        <v>45605</v>
      </c>
      <c r="M1" s="53">
        <v>45606</v>
      </c>
      <c r="N1" s="53">
        <v>45607</v>
      </c>
      <c r="O1" s="53">
        <v>45608</v>
      </c>
      <c r="P1" s="53">
        <v>45609</v>
      </c>
      <c r="Q1" s="53">
        <v>45610</v>
      </c>
      <c r="R1" s="53">
        <v>45611</v>
      </c>
      <c r="S1" s="53">
        <v>45612</v>
      </c>
      <c r="T1" s="53">
        <v>45613</v>
      </c>
      <c r="U1" s="53">
        <v>45614</v>
      </c>
      <c r="V1" s="53">
        <v>45615</v>
      </c>
      <c r="W1" s="53">
        <v>45616</v>
      </c>
      <c r="X1" s="53">
        <v>45617</v>
      </c>
      <c r="Y1" s="53">
        <v>45618</v>
      </c>
      <c r="Z1" s="53">
        <v>45619</v>
      </c>
      <c r="AA1" s="53">
        <v>45620</v>
      </c>
      <c r="AB1" s="53">
        <v>45621</v>
      </c>
      <c r="AC1" s="53">
        <v>45622</v>
      </c>
      <c r="AD1" s="53">
        <v>45623</v>
      </c>
      <c r="AE1" s="53">
        <v>45624</v>
      </c>
      <c r="AF1" s="53">
        <v>45625</v>
      </c>
      <c r="AG1" s="53">
        <v>45626</v>
      </c>
      <c r="AH1" s="53"/>
    </row>
    <row r="2" spans="1:34">
      <c r="A2" s="1" t="s">
        <v>1</v>
      </c>
      <c r="B2" s="1" t="s">
        <v>2</v>
      </c>
      <c r="C2" s="3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2"/>
      <c r="F3" s="2"/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2"/>
      <c r="N3" s="1">
        <v>0</v>
      </c>
      <c r="O3" s="1">
        <v>0</v>
      </c>
      <c r="P3" s="1">
        <v>0</v>
      </c>
      <c r="Q3" s="1">
        <v>0</v>
      </c>
      <c r="R3" s="1">
        <v>0</v>
      </c>
      <c r="S3" s="2"/>
      <c r="T3" s="2"/>
      <c r="U3" s="1">
        <v>0</v>
      </c>
      <c r="V3" s="1">
        <v>0</v>
      </c>
      <c r="W3" s="1">
        <v>0</v>
      </c>
      <c r="X3" s="1">
        <v>0</v>
      </c>
      <c r="Y3" s="1">
        <v>0</v>
      </c>
      <c r="Z3" s="2"/>
      <c r="AA3" s="2"/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2"/>
      <c r="AH3" s="1"/>
    </row>
    <row r="4" spans="1:34">
      <c r="A4" s="1">
        <v>2</v>
      </c>
      <c r="B4" s="1" t="s">
        <v>4</v>
      </c>
      <c r="C4" s="1">
        <f t="shared" ref="C4:C18" si="0">SUM(D4:AH4)</f>
        <v>0</v>
      </c>
      <c r="D4" s="1">
        <v>0</v>
      </c>
      <c r="E4" s="2"/>
      <c r="F4" s="2"/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2"/>
      <c r="N4" s="1">
        <v>0</v>
      </c>
      <c r="O4" s="1">
        <v>0</v>
      </c>
      <c r="P4" s="1">
        <v>0</v>
      </c>
      <c r="Q4" s="1">
        <v>0</v>
      </c>
      <c r="R4" s="1">
        <v>0</v>
      </c>
      <c r="S4" s="2"/>
      <c r="T4" s="2"/>
      <c r="U4" s="1">
        <v>0</v>
      </c>
      <c r="V4" s="1">
        <v>0</v>
      </c>
      <c r="W4" s="1">
        <v>0</v>
      </c>
      <c r="X4" s="1">
        <v>0</v>
      </c>
      <c r="Y4" s="1">
        <v>0</v>
      </c>
      <c r="Z4" s="2"/>
      <c r="AA4" s="2"/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2"/>
      <c r="AH4" s="1"/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2"/>
      <c r="F5" s="2"/>
      <c r="G5" s="1">
        <v>0</v>
      </c>
      <c r="H5" s="1">
        <v>0</v>
      </c>
      <c r="I5" s="1">
        <v>0</v>
      </c>
      <c r="J5" s="1">
        <v>0</v>
      </c>
      <c r="K5" s="1">
        <v>0</v>
      </c>
      <c r="L5" s="2"/>
      <c r="M5" s="2"/>
      <c r="N5" s="1">
        <v>0</v>
      </c>
      <c r="O5" s="1">
        <v>0</v>
      </c>
      <c r="P5" s="1">
        <v>0</v>
      </c>
      <c r="Q5" s="1">
        <v>0</v>
      </c>
      <c r="R5" s="1">
        <v>0</v>
      </c>
      <c r="S5" s="2"/>
      <c r="T5" s="2"/>
      <c r="U5" s="1">
        <v>0</v>
      </c>
      <c r="V5" s="1">
        <v>0</v>
      </c>
      <c r="W5" s="1">
        <v>0</v>
      </c>
      <c r="X5" s="1">
        <v>0</v>
      </c>
      <c r="Y5" s="1">
        <v>0</v>
      </c>
      <c r="Z5" s="2"/>
      <c r="AA5" s="2"/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2"/>
      <c r="AH5" s="1"/>
    </row>
    <row r="6" spans="1:34">
      <c r="A6" s="1">
        <v>4</v>
      </c>
      <c r="B6" s="1" t="s">
        <v>6</v>
      </c>
      <c r="C6" s="1">
        <f t="shared" si="0"/>
        <v>34</v>
      </c>
      <c r="D6" s="1">
        <v>4</v>
      </c>
      <c r="E6" s="2">
        <v>4</v>
      </c>
      <c r="F6" s="2"/>
      <c r="G6" s="1">
        <v>0</v>
      </c>
      <c r="H6" s="1">
        <v>0</v>
      </c>
      <c r="I6" s="1">
        <v>0</v>
      </c>
      <c r="J6" s="1">
        <v>0</v>
      </c>
      <c r="K6" s="1">
        <v>0</v>
      </c>
      <c r="L6" s="2"/>
      <c r="M6" s="2"/>
      <c r="N6" s="1">
        <v>0</v>
      </c>
      <c r="O6" s="1">
        <v>0</v>
      </c>
      <c r="P6" s="1">
        <v>0</v>
      </c>
      <c r="Q6" s="1">
        <v>4</v>
      </c>
      <c r="R6" s="1">
        <v>0</v>
      </c>
      <c r="S6" s="2"/>
      <c r="T6" s="2"/>
      <c r="U6" s="1">
        <v>0</v>
      </c>
      <c r="V6" s="1">
        <v>4</v>
      </c>
      <c r="W6" s="1">
        <v>0</v>
      </c>
      <c r="X6" s="1">
        <v>0</v>
      </c>
      <c r="Y6" s="1">
        <v>0</v>
      </c>
      <c r="Z6" s="2"/>
      <c r="AA6" s="2"/>
      <c r="AB6" s="1">
        <v>0</v>
      </c>
      <c r="AC6" s="1">
        <v>6</v>
      </c>
      <c r="AD6" s="1">
        <v>6</v>
      </c>
      <c r="AE6" s="1">
        <v>6</v>
      </c>
      <c r="AF6" s="1">
        <v>0</v>
      </c>
      <c r="AG6" s="2"/>
      <c r="AH6" s="1"/>
    </row>
    <row r="7" spans="1:34">
      <c r="A7" s="1">
        <v>5</v>
      </c>
      <c r="B7" s="1" t="s">
        <v>7</v>
      </c>
      <c r="C7" s="1">
        <f t="shared" si="0"/>
        <v>8</v>
      </c>
      <c r="D7" s="1">
        <v>0</v>
      </c>
      <c r="E7" s="2"/>
      <c r="F7" s="2"/>
      <c r="G7" s="1">
        <v>2</v>
      </c>
      <c r="H7" s="1">
        <v>2</v>
      </c>
      <c r="I7" s="1">
        <v>0</v>
      </c>
      <c r="J7" s="1">
        <v>2</v>
      </c>
      <c r="K7" s="1">
        <v>0</v>
      </c>
      <c r="L7" s="2"/>
      <c r="M7" s="2"/>
      <c r="N7" s="1">
        <v>0</v>
      </c>
      <c r="O7" s="1">
        <v>0</v>
      </c>
      <c r="P7" s="1">
        <v>0</v>
      </c>
      <c r="Q7" s="1">
        <v>0</v>
      </c>
      <c r="R7" s="1">
        <v>0</v>
      </c>
      <c r="S7" s="2"/>
      <c r="T7" s="2"/>
      <c r="U7" s="1">
        <v>0</v>
      </c>
      <c r="V7" s="1">
        <v>0</v>
      </c>
      <c r="W7" s="1">
        <v>2</v>
      </c>
      <c r="X7" s="1">
        <v>0</v>
      </c>
      <c r="Y7" s="1">
        <v>0</v>
      </c>
      <c r="Z7" s="2"/>
      <c r="AA7" s="2"/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6"/>
      <c r="AH7" s="24"/>
    </row>
    <row r="8" spans="1:34">
      <c r="A8" s="1">
        <v>6</v>
      </c>
      <c r="B8" s="1" t="s">
        <v>8</v>
      </c>
      <c r="C8" s="1">
        <f t="shared" si="0"/>
        <v>18</v>
      </c>
      <c r="D8" s="1">
        <v>0</v>
      </c>
      <c r="E8" s="2"/>
      <c r="F8" s="2"/>
      <c r="G8" s="1">
        <v>1</v>
      </c>
      <c r="H8" s="1">
        <v>1</v>
      </c>
      <c r="I8" s="1">
        <v>1</v>
      </c>
      <c r="J8" s="1">
        <v>1</v>
      </c>
      <c r="K8" s="1">
        <v>1</v>
      </c>
      <c r="L8" s="2"/>
      <c r="M8" s="2"/>
      <c r="N8" s="1">
        <v>0</v>
      </c>
      <c r="O8" s="1">
        <v>1</v>
      </c>
      <c r="P8" s="1">
        <v>2</v>
      </c>
      <c r="Q8" s="1">
        <v>1</v>
      </c>
      <c r="R8" s="1">
        <v>1</v>
      </c>
      <c r="S8" s="2"/>
      <c r="T8" s="2"/>
      <c r="U8" s="1">
        <v>1</v>
      </c>
      <c r="V8" s="1">
        <v>1</v>
      </c>
      <c r="W8" s="1">
        <v>2</v>
      </c>
      <c r="X8" s="1">
        <v>1</v>
      </c>
      <c r="Y8" s="1">
        <v>1</v>
      </c>
      <c r="Z8" s="2"/>
      <c r="AA8" s="2"/>
      <c r="AB8" s="1">
        <v>0</v>
      </c>
      <c r="AC8" s="1">
        <v>0</v>
      </c>
      <c r="AD8" s="1">
        <v>0</v>
      </c>
      <c r="AE8" s="1">
        <v>1</v>
      </c>
      <c r="AF8" s="1">
        <v>1</v>
      </c>
      <c r="AG8" s="2"/>
      <c r="AH8" s="1"/>
    </row>
    <row r="9" spans="1:34">
      <c r="A9" s="1">
        <v>0</v>
      </c>
      <c r="B9" s="1" t="s">
        <v>9</v>
      </c>
      <c r="C9" s="1">
        <f t="shared" si="0"/>
        <v>27</v>
      </c>
      <c r="D9" s="1">
        <v>0</v>
      </c>
      <c r="E9" s="2"/>
      <c r="F9" s="2"/>
      <c r="G9" s="1">
        <v>0</v>
      </c>
      <c r="H9" s="1">
        <v>0</v>
      </c>
      <c r="I9" s="1">
        <v>0</v>
      </c>
      <c r="J9" s="1">
        <v>0</v>
      </c>
      <c r="K9" s="1">
        <v>0</v>
      </c>
      <c r="L9" s="2"/>
      <c r="M9" s="2"/>
      <c r="N9" s="1">
        <v>0</v>
      </c>
      <c r="O9" s="1">
        <v>0</v>
      </c>
      <c r="P9" s="1">
        <v>0</v>
      </c>
      <c r="Q9" s="1">
        <v>0</v>
      </c>
      <c r="R9" s="1">
        <v>0</v>
      </c>
      <c r="S9" s="2"/>
      <c r="T9" s="2"/>
      <c r="U9" s="1">
        <v>0</v>
      </c>
      <c r="V9" s="1">
        <v>5</v>
      </c>
      <c r="W9" s="1">
        <v>5</v>
      </c>
      <c r="X9" s="1">
        <v>5</v>
      </c>
      <c r="Y9" s="1">
        <v>0</v>
      </c>
      <c r="Z9" s="2"/>
      <c r="AA9" s="2"/>
      <c r="AB9" s="1">
        <v>0</v>
      </c>
      <c r="AC9" s="1">
        <v>6</v>
      </c>
      <c r="AD9" s="1">
        <v>6</v>
      </c>
      <c r="AE9" s="1">
        <v>0</v>
      </c>
      <c r="AF9" s="1">
        <v>0</v>
      </c>
      <c r="AG9" s="2"/>
      <c r="AH9" s="1"/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2"/>
      <c r="F10" s="2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2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/>
      <c r="T10" s="2"/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2"/>
      <c r="AA10" s="2"/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"/>
      <c r="AH10" s="1"/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2"/>
      <c r="F11" s="2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/>
      <c r="M11" s="2"/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/>
      <c r="T11" s="2"/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2"/>
      <c r="AA11" s="2"/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2"/>
      <c r="AH11" s="1"/>
    </row>
    <row r="12" spans="1:34">
      <c r="A12" s="1">
        <v>10</v>
      </c>
      <c r="B12" s="1" t="s">
        <v>12</v>
      </c>
      <c r="C12" s="1">
        <f t="shared" si="0"/>
        <v>31</v>
      </c>
      <c r="D12" s="1">
        <v>0</v>
      </c>
      <c r="E12" s="2">
        <v>16</v>
      </c>
      <c r="F12" s="2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/>
      <c r="M12" s="2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/>
      <c r="T12" s="2"/>
      <c r="U12" s="1">
        <v>0</v>
      </c>
      <c r="V12" s="1">
        <v>5</v>
      </c>
      <c r="W12" s="1">
        <v>5</v>
      </c>
      <c r="X12" s="1">
        <v>5</v>
      </c>
      <c r="Y12" s="1">
        <v>0</v>
      </c>
      <c r="Z12" s="2"/>
      <c r="AA12" s="2"/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"/>
      <c r="AH12" s="1"/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2"/>
      <c r="F13" s="2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/>
      <c r="M13" s="2"/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/>
      <c r="T13" s="2"/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/>
      <c r="AA13" s="2"/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2"/>
      <c r="AH13" s="1"/>
    </row>
    <row r="14" spans="1:34">
      <c r="A14" s="1">
        <v>12</v>
      </c>
      <c r="B14" s="1" t="s">
        <v>14</v>
      </c>
      <c r="C14" s="1">
        <f t="shared" si="0"/>
        <v>15</v>
      </c>
      <c r="D14" s="1">
        <v>0</v>
      </c>
      <c r="E14" s="2"/>
      <c r="F14" s="2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/>
      <c r="M14" s="2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/>
      <c r="T14" s="2"/>
      <c r="U14" s="1">
        <v>0</v>
      </c>
      <c r="V14" s="1">
        <v>5</v>
      </c>
      <c r="W14" s="1">
        <v>5</v>
      </c>
      <c r="X14" s="1">
        <v>5</v>
      </c>
      <c r="Y14" s="1">
        <v>0</v>
      </c>
      <c r="Z14" s="2"/>
      <c r="AA14" s="2"/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2"/>
      <c r="AH14" s="1"/>
    </row>
    <row r="15" spans="1:34" ht="16.25" customHeight="1">
      <c r="A15" s="1">
        <v>13</v>
      </c>
      <c r="B15" s="1" t="s">
        <v>15</v>
      </c>
      <c r="C15" s="1">
        <f t="shared" si="0"/>
        <v>0</v>
      </c>
      <c r="D15" s="1">
        <v>0</v>
      </c>
      <c r="E15" s="2"/>
      <c r="F15" s="2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/>
      <c r="M15" s="2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/>
      <c r="T15" s="2"/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2"/>
      <c r="AA15" s="2"/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2"/>
      <c r="AH15" s="1"/>
    </row>
    <row r="16" spans="1:34">
      <c r="A16" s="1">
        <v>13</v>
      </c>
      <c r="B16" s="1" t="s">
        <v>16</v>
      </c>
      <c r="C16" s="1">
        <f t="shared" si="0"/>
        <v>1</v>
      </c>
      <c r="D16" s="1">
        <v>0</v>
      </c>
      <c r="E16" s="2"/>
      <c r="F16" s="2"/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2"/>
      <c r="M16" s="2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/>
      <c r="T16" s="2"/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2"/>
      <c r="AA16" s="2"/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2"/>
      <c r="AH16" s="1"/>
    </row>
    <row r="17" spans="1:34">
      <c r="A17" s="1">
        <v>14</v>
      </c>
      <c r="B17" s="1" t="s">
        <v>271</v>
      </c>
      <c r="C17" s="1">
        <f t="shared" si="0"/>
        <v>8</v>
      </c>
      <c r="D17" s="1">
        <v>0</v>
      </c>
      <c r="E17" s="2"/>
      <c r="F17" s="2"/>
      <c r="G17" s="1">
        <v>2</v>
      </c>
      <c r="H17" s="1">
        <v>2</v>
      </c>
      <c r="I17" s="1">
        <v>0</v>
      </c>
      <c r="J17" s="1">
        <v>2</v>
      </c>
      <c r="K17" s="1">
        <v>0</v>
      </c>
      <c r="L17" s="2"/>
      <c r="M17" s="2"/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/>
      <c r="T17" s="2"/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2"/>
      <c r="AA17" s="2"/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6"/>
      <c r="AH17" s="24"/>
    </row>
    <row r="18" spans="1:34">
      <c r="A18" s="1">
        <v>15</v>
      </c>
      <c r="B18" s="1" t="s">
        <v>301</v>
      </c>
      <c r="C18" s="1">
        <f t="shared" si="0"/>
        <v>6</v>
      </c>
      <c r="D18" s="1">
        <v>0</v>
      </c>
      <c r="E18" s="2"/>
      <c r="F18" s="2"/>
      <c r="G18" s="1">
        <v>2</v>
      </c>
      <c r="H18" s="1">
        <v>2</v>
      </c>
      <c r="I18" s="1">
        <v>0</v>
      </c>
      <c r="J18" s="1">
        <v>2</v>
      </c>
      <c r="K18" s="1">
        <v>0</v>
      </c>
      <c r="L18" s="2"/>
      <c r="M18" s="2"/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/>
      <c r="T18" s="2"/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2"/>
      <c r="AA18" s="2"/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26"/>
      <c r="AH18" s="24"/>
    </row>
    <row r="19" spans="1:34">
      <c r="A19" s="1"/>
      <c r="B19" s="1" t="s">
        <v>333</v>
      </c>
      <c r="C19" s="1">
        <f t="shared" ref="C19" si="1">SUM(D19:AH19)</f>
        <v>0</v>
      </c>
      <c r="D19" s="1"/>
      <c r="E19" s="2"/>
      <c r="F19" s="2"/>
      <c r="G19" s="1"/>
      <c r="H19" s="1"/>
      <c r="I19" s="1"/>
      <c r="J19" s="1"/>
      <c r="K19" s="1"/>
      <c r="L19" s="2"/>
      <c r="M19" s="2"/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/>
      <c r="T19" s="2"/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2"/>
      <c r="AA19" s="2"/>
      <c r="AB19" s="1"/>
      <c r="AC19" s="1"/>
      <c r="AD19" s="1"/>
      <c r="AE19" s="24"/>
      <c r="AF19" s="24"/>
      <c r="AG19" s="26"/>
      <c r="AH19" s="24"/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scale="53" fitToHeight="0" orientation="landscape" horizontalDpi="1200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D0F9-8A59-4D7E-A328-A0E7F1BF1C5F}">
  <dimension ref="A1:AG30"/>
  <sheetViews>
    <sheetView topLeftCell="A3" zoomScaleNormal="100" workbookViewId="0">
      <selection activeCell="AI1" sqref="AI1"/>
    </sheetView>
  </sheetViews>
  <sheetFormatPr baseColWidth="10" defaultColWidth="8.83203125" defaultRowHeight="15"/>
  <cols>
    <col min="3" max="32" width="8.83203125" hidden="1" customWidth="1"/>
    <col min="33" max="33" width="8.83203125" customWidth="1"/>
  </cols>
  <sheetData>
    <row r="1" spans="1:33" ht="27">
      <c r="A1" s="55" t="s">
        <v>0</v>
      </c>
      <c r="B1" s="55"/>
      <c r="C1" s="53">
        <v>45627</v>
      </c>
      <c r="D1" s="53">
        <v>45628</v>
      </c>
      <c r="E1" s="53">
        <v>45629</v>
      </c>
      <c r="F1" s="53">
        <v>45630</v>
      </c>
      <c r="G1" s="53">
        <v>45631</v>
      </c>
      <c r="H1" s="53">
        <v>45632</v>
      </c>
      <c r="I1" s="53">
        <v>45633</v>
      </c>
      <c r="J1" s="53">
        <v>45634</v>
      </c>
      <c r="K1" s="53">
        <v>45635</v>
      </c>
      <c r="L1" s="53">
        <v>45636</v>
      </c>
      <c r="M1" s="53">
        <v>45637</v>
      </c>
      <c r="N1" s="53">
        <v>45638</v>
      </c>
      <c r="O1" s="53">
        <v>45639</v>
      </c>
      <c r="P1" s="53">
        <v>45640</v>
      </c>
      <c r="Q1" s="53">
        <v>45641</v>
      </c>
      <c r="R1" s="53">
        <v>45642</v>
      </c>
      <c r="S1" s="53">
        <v>45643</v>
      </c>
      <c r="T1" s="53">
        <v>45644</v>
      </c>
      <c r="U1" s="53">
        <v>45645</v>
      </c>
      <c r="V1" s="53">
        <v>45646</v>
      </c>
      <c r="W1" s="53">
        <v>45647</v>
      </c>
      <c r="X1" s="53">
        <v>45648</v>
      </c>
      <c r="Y1" s="53">
        <v>45649</v>
      </c>
      <c r="Z1" s="53">
        <v>45650</v>
      </c>
      <c r="AA1" s="53">
        <v>45651</v>
      </c>
      <c r="AB1" s="53">
        <v>45652</v>
      </c>
      <c r="AC1" s="53">
        <v>45653</v>
      </c>
      <c r="AD1" s="53">
        <v>45654</v>
      </c>
      <c r="AE1" s="53">
        <v>45655</v>
      </c>
      <c r="AF1" s="53">
        <v>45656</v>
      </c>
      <c r="AG1" s="53">
        <v>45657</v>
      </c>
    </row>
    <row r="2" spans="1:33">
      <c r="A2" s="1" t="s">
        <v>1</v>
      </c>
      <c r="B2" s="1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>
      <c r="A3" s="1">
        <v>1</v>
      </c>
      <c r="B3" s="1" t="s">
        <v>3</v>
      </c>
      <c r="C3" s="2"/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2"/>
      <c r="J3" s="2"/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2"/>
      <c r="Q3" s="2"/>
      <c r="R3" s="25" t="s">
        <v>26</v>
      </c>
      <c r="S3" s="25" t="s">
        <v>26</v>
      </c>
      <c r="T3" s="25" t="s">
        <v>26</v>
      </c>
      <c r="U3" s="25" t="s">
        <v>26</v>
      </c>
      <c r="V3" s="25" t="s">
        <v>26</v>
      </c>
      <c r="W3" s="2"/>
      <c r="X3" s="2"/>
      <c r="Y3" s="1" t="s">
        <v>27</v>
      </c>
      <c r="Z3" s="1" t="s">
        <v>27</v>
      </c>
      <c r="AA3" s="1" t="s">
        <v>27</v>
      </c>
      <c r="AB3" s="1" t="s">
        <v>27</v>
      </c>
      <c r="AC3" s="1" t="s">
        <v>27</v>
      </c>
      <c r="AD3" s="26"/>
      <c r="AE3" s="26"/>
      <c r="AF3" s="1" t="s">
        <v>27</v>
      </c>
      <c r="AG3" s="1" t="s">
        <v>27</v>
      </c>
    </row>
    <row r="4" spans="1:33">
      <c r="A4" s="1">
        <v>2</v>
      </c>
      <c r="B4" s="1" t="s">
        <v>4</v>
      </c>
      <c r="C4" s="2"/>
      <c r="D4" s="1" t="s">
        <v>27</v>
      </c>
      <c r="E4" s="1" t="s">
        <v>27</v>
      </c>
      <c r="F4" s="1" t="s">
        <v>27</v>
      </c>
      <c r="G4" s="1" t="s">
        <v>27</v>
      </c>
      <c r="H4" s="1" t="s">
        <v>27</v>
      </c>
      <c r="I4" s="2"/>
      <c r="J4" s="2"/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2"/>
      <c r="Q4" s="2"/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2"/>
      <c r="X4" s="2"/>
      <c r="Y4" s="1" t="s">
        <v>27</v>
      </c>
      <c r="Z4" s="1" t="s">
        <v>27</v>
      </c>
      <c r="AA4" s="4" t="s">
        <v>182</v>
      </c>
      <c r="AB4" s="1" t="s">
        <v>27</v>
      </c>
      <c r="AC4" s="1" t="s">
        <v>27</v>
      </c>
      <c r="AD4" s="2"/>
      <c r="AE4" s="2"/>
      <c r="AF4" s="1" t="s">
        <v>27</v>
      </c>
      <c r="AG4" s="1" t="s">
        <v>27</v>
      </c>
    </row>
    <row r="5" spans="1:33">
      <c r="A5" s="1">
        <v>3</v>
      </c>
      <c r="B5" s="1" t="s">
        <v>5</v>
      </c>
      <c r="C5" s="2"/>
      <c r="D5" s="1" t="s">
        <v>27</v>
      </c>
      <c r="E5" s="1" t="s">
        <v>27</v>
      </c>
      <c r="F5" s="1" t="s">
        <v>27</v>
      </c>
      <c r="G5" s="1" t="s">
        <v>27</v>
      </c>
      <c r="H5" s="1" t="s">
        <v>27</v>
      </c>
      <c r="I5" s="2"/>
      <c r="J5" s="2"/>
      <c r="K5" s="1" t="s">
        <v>27</v>
      </c>
      <c r="L5" s="1" t="s">
        <v>27</v>
      </c>
      <c r="M5" s="1" t="s">
        <v>27</v>
      </c>
      <c r="N5" s="1" t="s">
        <v>27</v>
      </c>
      <c r="O5" s="1" t="s">
        <v>27</v>
      </c>
      <c r="P5" s="2"/>
      <c r="Q5" s="2"/>
      <c r="R5" s="1" t="s">
        <v>27</v>
      </c>
      <c r="S5" s="1" t="s">
        <v>27</v>
      </c>
      <c r="T5" s="1" t="s">
        <v>27</v>
      </c>
      <c r="U5" s="1" t="s">
        <v>27</v>
      </c>
      <c r="V5" s="1" t="s">
        <v>27</v>
      </c>
      <c r="W5" s="2"/>
      <c r="X5" s="2"/>
      <c r="Y5" s="24" t="s">
        <v>182</v>
      </c>
      <c r="Z5" s="1" t="s">
        <v>27</v>
      </c>
      <c r="AA5" s="1" t="s">
        <v>27</v>
      </c>
      <c r="AB5" s="1" t="s">
        <v>27</v>
      </c>
      <c r="AC5" s="1" t="s">
        <v>27</v>
      </c>
      <c r="AD5" s="2"/>
      <c r="AE5" s="2"/>
      <c r="AF5" s="1" t="s">
        <v>27</v>
      </c>
      <c r="AG5" s="1" t="s">
        <v>27</v>
      </c>
    </row>
    <row r="6" spans="1:33" ht="18">
      <c r="A6" s="1">
        <v>4</v>
      </c>
      <c r="B6" s="1" t="s">
        <v>6</v>
      </c>
      <c r="C6" s="2"/>
      <c r="D6" s="1" t="s">
        <v>26</v>
      </c>
      <c r="E6" s="1" t="s">
        <v>27</v>
      </c>
      <c r="F6" s="1" t="s">
        <v>27</v>
      </c>
      <c r="G6" s="28" t="s">
        <v>331</v>
      </c>
      <c r="H6" s="1" t="s">
        <v>27</v>
      </c>
      <c r="I6" s="2"/>
      <c r="J6" s="2"/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2"/>
      <c r="Q6" s="2"/>
      <c r="R6" s="25" t="s">
        <v>26</v>
      </c>
      <c r="S6" s="25" t="s">
        <v>26</v>
      </c>
      <c r="T6" s="25" t="s">
        <v>26</v>
      </c>
      <c r="U6" s="25" t="s">
        <v>26</v>
      </c>
      <c r="V6" s="25" t="s">
        <v>26</v>
      </c>
      <c r="W6" s="2"/>
      <c r="X6" s="2"/>
      <c r="Y6" s="1" t="s">
        <v>27</v>
      </c>
      <c r="Z6" s="1" t="s">
        <v>27</v>
      </c>
      <c r="AA6" s="1" t="s">
        <v>27</v>
      </c>
      <c r="AB6" s="1" t="s">
        <v>27</v>
      </c>
      <c r="AC6" s="4" t="s">
        <v>182</v>
      </c>
      <c r="AD6" s="2"/>
      <c r="AE6" s="2"/>
      <c r="AF6" s="1" t="s">
        <v>27</v>
      </c>
      <c r="AG6" s="1" t="s">
        <v>27</v>
      </c>
    </row>
    <row r="7" spans="1:33">
      <c r="A7" s="1">
        <v>5</v>
      </c>
      <c r="B7" s="1" t="s">
        <v>7</v>
      </c>
      <c r="C7" s="26"/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26"/>
      <c r="J7" s="26"/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2"/>
      <c r="Q7" s="2"/>
      <c r="R7" s="1" t="s">
        <v>27</v>
      </c>
      <c r="S7" s="1" t="s">
        <v>27</v>
      </c>
      <c r="T7" s="1" t="s">
        <v>27</v>
      </c>
      <c r="U7" s="1" t="s">
        <v>27</v>
      </c>
      <c r="V7" s="1" t="s">
        <v>27</v>
      </c>
      <c r="W7" s="2"/>
      <c r="X7" s="2"/>
      <c r="Y7" s="1" t="s">
        <v>27</v>
      </c>
      <c r="Z7" s="1" t="s">
        <v>27</v>
      </c>
      <c r="AA7" s="1" t="s">
        <v>27</v>
      </c>
      <c r="AB7" s="1" t="s">
        <v>27</v>
      </c>
      <c r="AC7" s="1" t="s">
        <v>27</v>
      </c>
      <c r="AD7" s="2"/>
      <c r="AE7" s="2"/>
      <c r="AF7" s="1" t="s">
        <v>182</v>
      </c>
      <c r="AG7" s="1" t="s">
        <v>182</v>
      </c>
    </row>
    <row r="8" spans="1:33" ht="18">
      <c r="A8" s="1">
        <v>6</v>
      </c>
      <c r="B8" s="1" t="s">
        <v>8</v>
      </c>
      <c r="C8" s="2"/>
      <c r="D8" s="1" t="s">
        <v>27</v>
      </c>
      <c r="E8" s="1" t="s">
        <v>27</v>
      </c>
      <c r="F8" s="1" t="s">
        <v>27</v>
      </c>
      <c r="G8" s="1" t="s">
        <v>27</v>
      </c>
      <c r="H8" s="1" t="s">
        <v>27</v>
      </c>
      <c r="I8" s="2"/>
      <c r="J8" s="2"/>
      <c r="K8" s="1" t="s">
        <v>27</v>
      </c>
      <c r="L8" s="1" t="s">
        <v>27</v>
      </c>
      <c r="M8" s="1" t="s">
        <v>27</v>
      </c>
      <c r="N8" s="28" t="s">
        <v>331</v>
      </c>
      <c r="O8" s="1" t="s">
        <v>27</v>
      </c>
      <c r="P8" s="2"/>
      <c r="Q8" s="2"/>
      <c r="R8" s="1" t="s">
        <v>27</v>
      </c>
      <c r="S8" s="1" t="s">
        <v>27</v>
      </c>
      <c r="T8" s="1" t="s">
        <v>27</v>
      </c>
      <c r="U8" s="1" t="s">
        <v>27</v>
      </c>
      <c r="V8" s="24" t="s">
        <v>182</v>
      </c>
      <c r="W8" s="2"/>
      <c r="X8" s="2"/>
      <c r="Y8" s="1" t="s">
        <v>27</v>
      </c>
      <c r="Z8" s="1" t="s">
        <v>27</v>
      </c>
      <c r="AA8" s="1" t="s">
        <v>27</v>
      </c>
      <c r="AB8" s="1" t="s">
        <v>27</v>
      </c>
      <c r="AC8" s="1" t="s">
        <v>27</v>
      </c>
      <c r="AD8" s="2"/>
      <c r="AE8" s="2"/>
      <c r="AF8" s="1" t="s">
        <v>27</v>
      </c>
      <c r="AG8" s="1" t="s">
        <v>182</v>
      </c>
    </row>
    <row r="9" spans="1:33" ht="16">
      <c r="A9" s="1">
        <v>7</v>
      </c>
      <c r="B9" s="1" t="s">
        <v>9</v>
      </c>
      <c r="C9" s="2"/>
      <c r="D9" s="24" t="s">
        <v>26</v>
      </c>
      <c r="E9" s="1" t="s">
        <v>27</v>
      </c>
      <c r="F9" s="1" t="s">
        <v>27</v>
      </c>
      <c r="G9" s="1" t="s">
        <v>27</v>
      </c>
      <c r="H9" s="1" t="s">
        <v>27</v>
      </c>
      <c r="I9" s="26"/>
      <c r="J9" s="26"/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26"/>
      <c r="Q9" s="26"/>
      <c r="R9" s="1" t="s">
        <v>27</v>
      </c>
      <c r="S9" s="1" t="s">
        <v>27</v>
      </c>
      <c r="T9" s="28" t="s">
        <v>345</v>
      </c>
      <c r="U9" s="1" t="s">
        <v>27</v>
      </c>
      <c r="V9" s="1" t="s">
        <v>27</v>
      </c>
      <c r="W9" s="26"/>
      <c r="X9" s="26"/>
      <c r="Y9" s="1" t="s">
        <v>27</v>
      </c>
      <c r="Z9" s="1" t="s">
        <v>27</v>
      </c>
      <c r="AA9" s="1" t="s">
        <v>27</v>
      </c>
      <c r="AB9" s="1" t="s">
        <v>27</v>
      </c>
      <c r="AC9" s="1" t="s">
        <v>27</v>
      </c>
      <c r="AD9" s="26"/>
      <c r="AE9" s="26"/>
      <c r="AF9" s="1" t="s">
        <v>27</v>
      </c>
      <c r="AG9" s="28" t="s">
        <v>275</v>
      </c>
    </row>
    <row r="10" spans="1:33">
      <c r="A10" s="1">
        <v>8</v>
      </c>
      <c r="B10" s="1" t="s">
        <v>10</v>
      </c>
      <c r="C10" s="2"/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275</v>
      </c>
      <c r="I10" s="2"/>
      <c r="J10" s="2"/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  <c r="P10" s="2"/>
      <c r="Q10" s="33"/>
      <c r="R10" s="1" t="s">
        <v>27</v>
      </c>
      <c r="S10" s="1" t="s">
        <v>27</v>
      </c>
      <c r="T10" s="1" t="s">
        <v>27</v>
      </c>
      <c r="U10" s="1" t="s">
        <v>27</v>
      </c>
      <c r="V10" s="1" t="s">
        <v>182</v>
      </c>
      <c r="W10" s="2"/>
      <c r="X10" s="2"/>
      <c r="Y10" s="1" t="s">
        <v>27</v>
      </c>
      <c r="Z10" s="1" t="s">
        <v>27</v>
      </c>
      <c r="AA10" s="1" t="s">
        <v>27</v>
      </c>
      <c r="AB10" s="1" t="s">
        <v>27</v>
      </c>
      <c r="AC10" s="1" t="s">
        <v>27</v>
      </c>
      <c r="AD10" s="2"/>
      <c r="AE10" s="2"/>
      <c r="AF10" s="1" t="s">
        <v>27</v>
      </c>
      <c r="AG10" s="1" t="s">
        <v>27</v>
      </c>
    </row>
    <row r="11" spans="1:33" ht="18">
      <c r="A11" s="1">
        <v>9</v>
      </c>
      <c r="B11" s="1" t="s">
        <v>11</v>
      </c>
      <c r="C11" s="2"/>
      <c r="D11" s="1" t="s">
        <v>27</v>
      </c>
      <c r="E11" s="1" t="s">
        <v>27</v>
      </c>
      <c r="F11" s="23" t="s">
        <v>41</v>
      </c>
      <c r="G11" s="1" t="s">
        <v>27</v>
      </c>
      <c r="H11" s="1" t="s">
        <v>27</v>
      </c>
      <c r="I11" s="2"/>
      <c r="J11" s="2"/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2"/>
      <c r="Q11" s="2"/>
      <c r="R11" s="1" t="s">
        <v>27</v>
      </c>
      <c r="S11" s="1" t="s">
        <v>27</v>
      </c>
      <c r="T11" s="1" t="s">
        <v>27</v>
      </c>
      <c r="U11" s="28" t="s">
        <v>345</v>
      </c>
      <c r="V11" s="1" t="s">
        <v>27</v>
      </c>
      <c r="W11" s="2"/>
      <c r="X11" s="2"/>
      <c r="Y11" s="1" t="s">
        <v>27</v>
      </c>
      <c r="Z11" s="1" t="s">
        <v>27</v>
      </c>
      <c r="AA11" s="4" t="s">
        <v>182</v>
      </c>
      <c r="AB11" s="1" t="s">
        <v>27</v>
      </c>
      <c r="AC11" s="1" t="s">
        <v>27</v>
      </c>
      <c r="AD11" s="2"/>
      <c r="AE11" s="2"/>
      <c r="AF11" s="1" t="s">
        <v>27</v>
      </c>
      <c r="AG11" s="1" t="s">
        <v>27</v>
      </c>
    </row>
    <row r="12" spans="1:33" ht="18">
      <c r="A12" s="1">
        <v>10</v>
      </c>
      <c r="B12" s="1" t="s">
        <v>12</v>
      </c>
      <c r="C12" s="32"/>
      <c r="D12" s="24" t="s">
        <v>26</v>
      </c>
      <c r="E12" s="1" t="s">
        <v>27</v>
      </c>
      <c r="F12" s="1" t="s">
        <v>27</v>
      </c>
      <c r="G12" s="1" t="s">
        <v>27</v>
      </c>
      <c r="H12" s="1" t="s">
        <v>27</v>
      </c>
      <c r="I12" s="26"/>
      <c r="J12" s="26"/>
      <c r="K12" s="28" t="s">
        <v>331</v>
      </c>
      <c r="L12" s="1" t="s">
        <v>27</v>
      </c>
      <c r="M12" s="1" t="s">
        <v>27</v>
      </c>
      <c r="N12" s="1" t="s">
        <v>27</v>
      </c>
      <c r="O12" s="1" t="s">
        <v>27</v>
      </c>
      <c r="P12" s="26"/>
      <c r="Q12" s="26"/>
      <c r="R12" s="1" t="s">
        <v>27</v>
      </c>
      <c r="S12" s="1" t="s">
        <v>27</v>
      </c>
      <c r="T12" s="1" t="s">
        <v>27</v>
      </c>
      <c r="U12" s="1" t="s">
        <v>27</v>
      </c>
      <c r="V12" s="1" t="s">
        <v>27</v>
      </c>
      <c r="W12" s="26"/>
      <c r="X12" s="26"/>
      <c r="Y12" s="1" t="s">
        <v>27</v>
      </c>
      <c r="Z12" s="1" t="s">
        <v>27</v>
      </c>
      <c r="AA12" s="1" t="s">
        <v>27</v>
      </c>
      <c r="AB12" s="1" t="s">
        <v>27</v>
      </c>
      <c r="AC12" s="1" t="s">
        <v>27</v>
      </c>
      <c r="AD12" s="26"/>
      <c r="AE12" s="26"/>
      <c r="AF12" s="1" t="s">
        <v>27</v>
      </c>
      <c r="AG12" s="1" t="s">
        <v>27</v>
      </c>
    </row>
    <row r="13" spans="1:33" ht="16">
      <c r="A13" s="1">
        <v>11</v>
      </c>
      <c r="B13" s="1" t="s">
        <v>13</v>
      </c>
      <c r="C13" s="2"/>
      <c r="D13" s="1" t="s">
        <v>27</v>
      </c>
      <c r="E13" s="1" t="s">
        <v>27</v>
      </c>
      <c r="F13" s="1" t="s">
        <v>27</v>
      </c>
      <c r="G13" s="1" t="s">
        <v>27</v>
      </c>
      <c r="H13" s="1" t="s">
        <v>27</v>
      </c>
      <c r="I13" s="2"/>
      <c r="J13" s="2"/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27</v>
      </c>
      <c r="P13" s="2"/>
      <c r="Q13" s="2"/>
      <c r="R13" s="1" t="s">
        <v>27</v>
      </c>
      <c r="S13" s="28" t="s">
        <v>345</v>
      </c>
      <c r="T13" s="1" t="s">
        <v>27</v>
      </c>
      <c r="U13" s="1" t="s">
        <v>27</v>
      </c>
      <c r="V13" s="1" t="s">
        <v>27</v>
      </c>
      <c r="W13" s="2"/>
      <c r="X13" s="2"/>
      <c r="Y13" s="1" t="s">
        <v>27</v>
      </c>
      <c r="Z13" s="1" t="s">
        <v>27</v>
      </c>
      <c r="AA13" s="1" t="s">
        <v>27</v>
      </c>
      <c r="AB13" s="1" t="s">
        <v>27</v>
      </c>
      <c r="AC13" s="1" t="s">
        <v>27</v>
      </c>
      <c r="AD13" s="2"/>
      <c r="AE13" s="2"/>
      <c r="AF13" s="1" t="s">
        <v>27</v>
      </c>
      <c r="AG13" s="1" t="s">
        <v>27</v>
      </c>
    </row>
    <row r="14" spans="1:33" ht="18">
      <c r="A14" s="1">
        <v>12</v>
      </c>
      <c r="B14" s="1" t="s">
        <v>14</v>
      </c>
      <c r="C14" s="2"/>
      <c r="D14" s="24" t="s">
        <v>26</v>
      </c>
      <c r="E14" s="28" t="s">
        <v>331</v>
      </c>
      <c r="F14" s="1" t="s">
        <v>27</v>
      </c>
      <c r="G14" s="1" t="s">
        <v>27</v>
      </c>
      <c r="H14" s="28" t="s">
        <v>345</v>
      </c>
      <c r="I14" s="26"/>
      <c r="J14" s="26"/>
      <c r="K14" s="1" t="s">
        <v>27</v>
      </c>
      <c r="L14" s="1" t="s">
        <v>27</v>
      </c>
      <c r="M14" s="1" t="s">
        <v>27</v>
      </c>
      <c r="N14" s="1" t="s">
        <v>27</v>
      </c>
      <c r="O14" s="28" t="s">
        <v>345</v>
      </c>
      <c r="P14" s="26"/>
      <c r="Q14" s="26"/>
      <c r="R14" s="28" t="s">
        <v>345</v>
      </c>
      <c r="S14" s="1" t="s">
        <v>27</v>
      </c>
      <c r="T14" s="1" t="s">
        <v>27</v>
      </c>
      <c r="U14" s="1" t="s">
        <v>27</v>
      </c>
      <c r="V14" s="24" t="s">
        <v>182</v>
      </c>
      <c r="W14" s="26"/>
      <c r="X14" s="26"/>
      <c r="Y14" s="1" t="s">
        <v>27</v>
      </c>
      <c r="Z14" s="1" t="s">
        <v>27</v>
      </c>
      <c r="AA14" s="4" t="s">
        <v>182</v>
      </c>
      <c r="AB14" s="1" t="s">
        <v>27</v>
      </c>
      <c r="AC14" s="4" t="s">
        <v>182</v>
      </c>
      <c r="AD14" s="26"/>
      <c r="AE14" s="26"/>
      <c r="AF14" s="1" t="s">
        <v>27</v>
      </c>
      <c r="AG14" s="1" t="s">
        <v>182</v>
      </c>
    </row>
    <row r="15" spans="1:33" ht="16.25" hidden="1" customHeight="1">
      <c r="A15" s="1">
        <v>13</v>
      </c>
      <c r="B15" s="1" t="s">
        <v>15</v>
      </c>
      <c r="C15" s="2"/>
      <c r="D15" s="1"/>
      <c r="E15" s="28" t="s">
        <v>331</v>
      </c>
      <c r="F15" s="1"/>
      <c r="G15" s="1"/>
      <c r="H15" s="1"/>
      <c r="I15" s="2"/>
      <c r="J15" s="2"/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2"/>
      <c r="Q15" s="2"/>
      <c r="R15" s="1" t="s">
        <v>27</v>
      </c>
      <c r="S15" s="1" t="s">
        <v>27</v>
      </c>
      <c r="T15" s="1" t="s">
        <v>27</v>
      </c>
      <c r="U15" s="1" t="s">
        <v>27</v>
      </c>
      <c r="V15" s="1"/>
      <c r="W15" s="2"/>
      <c r="X15" s="2"/>
      <c r="Y15" s="1" t="s">
        <v>27</v>
      </c>
      <c r="Z15" s="1" t="s">
        <v>27</v>
      </c>
      <c r="AA15" s="1" t="s">
        <v>27</v>
      </c>
      <c r="AB15" s="1" t="s">
        <v>27</v>
      </c>
      <c r="AC15" s="1" t="s">
        <v>27</v>
      </c>
      <c r="AD15" s="2"/>
      <c r="AE15" s="2"/>
      <c r="AF15" s="1" t="s">
        <v>27</v>
      </c>
      <c r="AG15" s="1" t="s">
        <v>27</v>
      </c>
    </row>
    <row r="16" spans="1:33" ht="18">
      <c r="A16" s="1">
        <v>13</v>
      </c>
      <c r="B16" s="1" t="s">
        <v>16</v>
      </c>
      <c r="C16" s="2"/>
      <c r="D16" s="23" t="s">
        <v>182</v>
      </c>
      <c r="E16" s="28" t="s">
        <v>275</v>
      </c>
      <c r="F16" s="28" t="s">
        <v>275</v>
      </c>
      <c r="G16" s="28" t="s">
        <v>331</v>
      </c>
      <c r="H16" s="1" t="s">
        <v>344</v>
      </c>
      <c r="I16" s="2"/>
      <c r="J16" s="2"/>
      <c r="K16" s="1" t="s">
        <v>27</v>
      </c>
      <c r="L16" s="1" t="s">
        <v>27</v>
      </c>
      <c r="M16" s="1" t="s">
        <v>27</v>
      </c>
      <c r="N16" s="1" t="s">
        <v>27</v>
      </c>
      <c r="O16" s="1" t="s">
        <v>27</v>
      </c>
      <c r="P16" s="2"/>
      <c r="Q16" s="2"/>
      <c r="R16" s="1" t="s">
        <v>27</v>
      </c>
      <c r="S16" s="28" t="s">
        <v>345</v>
      </c>
      <c r="T16" s="1" t="s">
        <v>27</v>
      </c>
      <c r="U16" s="1" t="s">
        <v>27</v>
      </c>
      <c r="V16" s="1" t="s">
        <v>27</v>
      </c>
      <c r="W16" s="2"/>
      <c r="X16" s="2"/>
      <c r="Y16" s="1" t="s">
        <v>27</v>
      </c>
      <c r="Z16" s="1" t="s">
        <v>27</v>
      </c>
      <c r="AA16" s="1" t="s">
        <v>27</v>
      </c>
      <c r="AB16" s="1" t="s">
        <v>27</v>
      </c>
      <c r="AC16" s="1" t="s">
        <v>27</v>
      </c>
      <c r="AD16" s="2"/>
      <c r="AE16" s="34"/>
      <c r="AF16" s="1" t="s">
        <v>27</v>
      </c>
      <c r="AG16" s="1" t="s">
        <v>27</v>
      </c>
    </row>
    <row r="17" spans="1:33" ht="18">
      <c r="A17" s="1">
        <v>14</v>
      </c>
      <c r="B17" s="1" t="s">
        <v>271</v>
      </c>
      <c r="C17" s="26"/>
      <c r="D17" s="28" t="s">
        <v>331</v>
      </c>
      <c r="E17" s="1" t="s">
        <v>27</v>
      </c>
      <c r="F17" s="1" t="s">
        <v>27</v>
      </c>
      <c r="G17" s="1" t="s">
        <v>27</v>
      </c>
      <c r="H17" s="1" t="s">
        <v>27</v>
      </c>
      <c r="I17" s="26"/>
      <c r="J17" s="26"/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  <c r="P17" s="2"/>
      <c r="Q17" s="2"/>
      <c r="R17" s="1" t="s">
        <v>27</v>
      </c>
      <c r="S17" s="1" t="s">
        <v>27</v>
      </c>
      <c r="T17" s="1" t="s">
        <v>27</v>
      </c>
      <c r="U17" s="1" t="s">
        <v>27</v>
      </c>
      <c r="V17" s="1" t="s">
        <v>27</v>
      </c>
      <c r="W17" s="2"/>
      <c r="X17" s="34"/>
      <c r="Y17" s="1" t="s">
        <v>27</v>
      </c>
      <c r="Z17" s="1" t="s">
        <v>27</v>
      </c>
      <c r="AA17" s="1" t="s">
        <v>27</v>
      </c>
      <c r="AB17" s="1" t="s">
        <v>27</v>
      </c>
      <c r="AC17" s="1" t="s">
        <v>27</v>
      </c>
      <c r="AD17" s="2"/>
      <c r="AE17" s="2"/>
      <c r="AF17" s="1" t="s">
        <v>27</v>
      </c>
      <c r="AG17" s="1" t="s">
        <v>27</v>
      </c>
    </row>
    <row r="18" spans="1:33" ht="18">
      <c r="A18" s="1">
        <v>15</v>
      </c>
      <c r="B18" s="1" t="s">
        <v>301</v>
      </c>
      <c r="C18" s="26"/>
      <c r="D18" s="1" t="s">
        <v>27</v>
      </c>
      <c r="E18" s="1" t="s">
        <v>27</v>
      </c>
      <c r="F18" s="1" t="s">
        <v>27</v>
      </c>
      <c r="G18" s="1" t="s">
        <v>27</v>
      </c>
      <c r="H18" s="1" t="s">
        <v>27</v>
      </c>
      <c r="I18" s="26"/>
      <c r="J18" s="26"/>
      <c r="K18" s="1" t="s">
        <v>27</v>
      </c>
      <c r="L18" s="25" t="s">
        <v>154</v>
      </c>
      <c r="M18" s="1" t="s">
        <v>27</v>
      </c>
      <c r="N18" s="1" t="s">
        <v>27</v>
      </c>
      <c r="O18" s="28" t="s">
        <v>331</v>
      </c>
      <c r="P18" s="2"/>
      <c r="Q18" s="2"/>
      <c r="R18" s="1" t="s">
        <v>27</v>
      </c>
      <c r="S18" s="1" t="s">
        <v>27</v>
      </c>
      <c r="T18" s="1" t="s">
        <v>27</v>
      </c>
      <c r="U18" s="1" t="s">
        <v>27</v>
      </c>
      <c r="V18" s="1" t="s">
        <v>27</v>
      </c>
      <c r="W18" s="2"/>
      <c r="X18" s="2"/>
      <c r="Y18" s="1" t="s">
        <v>27</v>
      </c>
      <c r="Z18" s="1" t="s">
        <v>27</v>
      </c>
      <c r="AA18" s="1" t="s">
        <v>27</v>
      </c>
      <c r="AB18" s="1" t="s">
        <v>27</v>
      </c>
      <c r="AC18" s="1" t="s">
        <v>27</v>
      </c>
      <c r="AD18" s="2"/>
      <c r="AE18" s="2"/>
      <c r="AF18" s="1" t="s">
        <v>27</v>
      </c>
      <c r="AG18" s="1" t="s">
        <v>27</v>
      </c>
    </row>
    <row r="19" spans="1:33">
      <c r="A19" s="1">
        <v>16</v>
      </c>
      <c r="B19" s="1" t="s">
        <v>343</v>
      </c>
      <c r="C19" s="26"/>
      <c r="D19" s="1" t="s">
        <v>27</v>
      </c>
      <c r="E19" s="1" t="s">
        <v>27</v>
      </c>
      <c r="F19" s="1" t="s">
        <v>27</v>
      </c>
      <c r="G19" s="1" t="s">
        <v>27</v>
      </c>
      <c r="H19" s="1" t="s">
        <v>27</v>
      </c>
      <c r="I19" s="26"/>
      <c r="J19" s="26"/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  <c r="P19" s="2"/>
      <c r="Q19" s="2"/>
      <c r="R19" s="1" t="s">
        <v>27</v>
      </c>
      <c r="S19" s="1" t="s">
        <v>27</v>
      </c>
      <c r="T19" s="1" t="s">
        <v>27</v>
      </c>
      <c r="U19" s="1" t="s">
        <v>27</v>
      </c>
      <c r="V19" s="1" t="s">
        <v>27</v>
      </c>
      <c r="W19" s="2"/>
      <c r="X19" s="2"/>
      <c r="Y19" s="1" t="s">
        <v>27</v>
      </c>
      <c r="Z19" s="1" t="s">
        <v>27</v>
      </c>
      <c r="AA19" s="1" t="s">
        <v>27</v>
      </c>
      <c r="AB19" s="1" t="s">
        <v>27</v>
      </c>
      <c r="AC19" s="1" t="s">
        <v>27</v>
      </c>
      <c r="AD19" s="2"/>
      <c r="AE19" s="2"/>
      <c r="AF19" s="1" t="s">
        <v>27</v>
      </c>
      <c r="AG19" s="1" t="s">
        <v>27</v>
      </c>
    </row>
    <row r="20" spans="1:33" ht="18">
      <c r="A20" s="31" t="s">
        <v>27</v>
      </c>
      <c r="B20" t="s">
        <v>24</v>
      </c>
    </row>
    <row r="21" spans="1:33">
      <c r="A21" s="4" t="s">
        <v>182</v>
      </c>
      <c r="B21" t="s">
        <v>25</v>
      </c>
    </row>
    <row r="22" spans="1:33">
      <c r="A22" s="8" t="s">
        <v>41</v>
      </c>
      <c r="B22" s="7" t="s">
        <v>40</v>
      </c>
    </row>
    <row r="24" spans="1:33">
      <c r="A24" s="13" t="s">
        <v>169</v>
      </c>
    </row>
    <row r="25" spans="1:33">
      <c r="A25" s="14" t="s">
        <v>170</v>
      </c>
    </row>
    <row r="26" spans="1:33">
      <c r="A26" s="14" t="s">
        <v>171</v>
      </c>
    </row>
    <row r="27" spans="1:33">
      <c r="A27" s="14" t="s">
        <v>167</v>
      </c>
    </row>
    <row r="28" spans="1:33">
      <c r="A28" s="14" t="s">
        <v>172</v>
      </c>
    </row>
    <row r="29" spans="1:33">
      <c r="A29" s="14" t="s">
        <v>173</v>
      </c>
    </row>
    <row r="30" spans="1:33">
      <c r="A30" s="14" t="s">
        <v>168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1611-63F5-40C4-9B77-D61747399580}">
  <sheetPr>
    <tabColor rgb="FFFF0000"/>
  </sheetPr>
  <dimension ref="A1:AH19"/>
  <sheetViews>
    <sheetView workbookViewId="0">
      <selection activeCell="AI1" sqref="AI1"/>
    </sheetView>
  </sheetViews>
  <sheetFormatPr baseColWidth="10" defaultColWidth="8.83203125" defaultRowHeight="15"/>
  <cols>
    <col min="3" max="3" width="15.33203125" customWidth="1"/>
    <col min="4" max="8" width="8.83203125" customWidth="1"/>
    <col min="9" max="9" width="9.1640625" customWidth="1"/>
    <col min="10" max="33" width="8.83203125" customWidth="1"/>
  </cols>
  <sheetData>
    <row r="1" spans="1:34" ht="27">
      <c r="A1" s="57" t="s">
        <v>17</v>
      </c>
      <c r="B1" s="57"/>
      <c r="C1" s="43" t="s">
        <v>323</v>
      </c>
      <c r="D1" s="53">
        <v>45627</v>
      </c>
      <c r="E1" s="53">
        <v>45628</v>
      </c>
      <c r="F1" s="53">
        <v>45629</v>
      </c>
      <c r="G1" s="53">
        <v>45630</v>
      </c>
      <c r="H1" s="53">
        <v>45631</v>
      </c>
      <c r="I1" s="53">
        <v>45632</v>
      </c>
      <c r="J1" s="53">
        <v>45633</v>
      </c>
      <c r="K1" s="53">
        <v>45634</v>
      </c>
      <c r="L1" s="53">
        <v>45635</v>
      </c>
      <c r="M1" s="53">
        <v>45636</v>
      </c>
      <c r="N1" s="53">
        <v>45637</v>
      </c>
      <c r="O1" s="53">
        <v>45638</v>
      </c>
      <c r="P1" s="53">
        <v>45639</v>
      </c>
      <c r="Q1" s="53">
        <v>45640</v>
      </c>
      <c r="R1" s="53">
        <v>45641</v>
      </c>
      <c r="S1" s="53">
        <v>45642</v>
      </c>
      <c r="T1" s="53">
        <v>45643</v>
      </c>
      <c r="U1" s="53">
        <v>45644</v>
      </c>
      <c r="V1" s="53">
        <v>45645</v>
      </c>
      <c r="W1" s="53">
        <v>45646</v>
      </c>
      <c r="X1" s="53">
        <v>45647</v>
      </c>
      <c r="Y1" s="53">
        <v>45648</v>
      </c>
      <c r="Z1" s="53">
        <v>45649</v>
      </c>
      <c r="AA1" s="53">
        <v>45650</v>
      </c>
      <c r="AB1" s="53">
        <v>45651</v>
      </c>
      <c r="AC1" s="53">
        <v>45652</v>
      </c>
      <c r="AD1" s="53">
        <v>45653</v>
      </c>
      <c r="AE1" s="53">
        <v>45654</v>
      </c>
      <c r="AF1" s="53">
        <v>45655</v>
      </c>
      <c r="AG1" s="53">
        <v>45656</v>
      </c>
      <c r="AH1" s="53">
        <v>45657</v>
      </c>
    </row>
    <row r="2" spans="1:34">
      <c r="A2" s="1" t="s">
        <v>1</v>
      </c>
      <c r="B2" s="1" t="s">
        <v>2</v>
      </c>
      <c r="C2" s="5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3</v>
      </c>
      <c r="C3" s="1">
        <f>SUM(D3:AH3)</f>
        <v>0</v>
      </c>
      <c r="D3" s="2"/>
      <c r="E3" s="1">
        <v>0</v>
      </c>
      <c r="F3" s="1">
        <v>0</v>
      </c>
      <c r="G3" s="1">
        <v>0</v>
      </c>
      <c r="H3" s="1">
        <v>0</v>
      </c>
      <c r="I3" s="1">
        <v>0</v>
      </c>
      <c r="J3" s="2"/>
      <c r="K3" s="2"/>
      <c r="L3" s="1">
        <v>0</v>
      </c>
      <c r="M3" s="1">
        <v>0</v>
      </c>
      <c r="N3" s="1">
        <v>0</v>
      </c>
      <c r="O3" s="1">
        <v>0</v>
      </c>
      <c r="P3" s="1">
        <v>0</v>
      </c>
      <c r="Q3" s="2"/>
      <c r="R3" s="2"/>
      <c r="S3" s="1">
        <v>0</v>
      </c>
      <c r="T3" s="1">
        <v>0</v>
      </c>
      <c r="U3" s="1">
        <v>0</v>
      </c>
      <c r="V3" s="1">
        <v>0</v>
      </c>
      <c r="W3" s="1">
        <v>0</v>
      </c>
      <c r="X3" s="2"/>
      <c r="Y3" s="2"/>
      <c r="Z3" s="1">
        <v>0</v>
      </c>
      <c r="AA3" s="1">
        <v>0</v>
      </c>
      <c r="AB3" s="24">
        <v>0</v>
      </c>
      <c r="AC3" s="24">
        <v>0</v>
      </c>
      <c r="AD3" s="24">
        <v>0</v>
      </c>
      <c r="AE3" s="26"/>
      <c r="AF3" s="26"/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9" si="0">SUM(D4:AH4)</f>
        <v>26</v>
      </c>
      <c r="D4" s="2"/>
      <c r="E4" s="1">
        <v>0</v>
      </c>
      <c r="F4" s="1">
        <v>6</v>
      </c>
      <c r="G4" s="1">
        <v>0</v>
      </c>
      <c r="H4" s="1">
        <v>0</v>
      </c>
      <c r="I4" s="1">
        <v>0</v>
      </c>
      <c r="J4" s="2"/>
      <c r="K4" s="2"/>
      <c r="L4" s="1">
        <v>0</v>
      </c>
      <c r="M4" s="1">
        <v>0</v>
      </c>
      <c r="N4" s="1">
        <v>0</v>
      </c>
      <c r="O4" s="1">
        <v>0</v>
      </c>
      <c r="P4" s="1">
        <v>0</v>
      </c>
      <c r="Q4" s="2"/>
      <c r="R4" s="2"/>
      <c r="S4" s="1">
        <v>0</v>
      </c>
      <c r="T4" s="1">
        <v>0</v>
      </c>
      <c r="U4" s="1">
        <v>0</v>
      </c>
      <c r="V4" s="1">
        <v>0</v>
      </c>
      <c r="W4" s="1">
        <v>4</v>
      </c>
      <c r="X4" s="2"/>
      <c r="Y4" s="2"/>
      <c r="Z4" s="1">
        <v>0</v>
      </c>
      <c r="AA4" s="1">
        <v>0</v>
      </c>
      <c r="AB4" s="24">
        <v>16</v>
      </c>
      <c r="AC4" s="24">
        <v>0</v>
      </c>
      <c r="AD4" s="24">
        <v>0</v>
      </c>
      <c r="AE4" s="2"/>
      <c r="AF4" s="2"/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8</v>
      </c>
      <c r="D5" s="2"/>
      <c r="E5" s="1">
        <v>0</v>
      </c>
      <c r="F5" s="1">
        <v>0</v>
      </c>
      <c r="G5" s="1">
        <v>0</v>
      </c>
      <c r="H5" s="1">
        <v>0</v>
      </c>
      <c r="I5" s="1">
        <v>0</v>
      </c>
      <c r="J5" s="2"/>
      <c r="K5" s="2"/>
      <c r="L5" s="1">
        <v>0</v>
      </c>
      <c r="M5" s="1">
        <v>0</v>
      </c>
      <c r="N5" s="1">
        <v>0</v>
      </c>
      <c r="O5" s="1">
        <v>0</v>
      </c>
      <c r="P5" s="1">
        <v>0</v>
      </c>
      <c r="Q5" s="2"/>
      <c r="R5" s="2"/>
      <c r="S5" s="1">
        <v>0</v>
      </c>
      <c r="T5" s="1">
        <v>0</v>
      </c>
      <c r="U5" s="1">
        <v>0</v>
      </c>
      <c r="V5" s="1">
        <v>0</v>
      </c>
      <c r="W5" s="1">
        <v>0</v>
      </c>
      <c r="X5" s="2"/>
      <c r="Y5" s="2"/>
      <c r="Z5" s="1">
        <v>8</v>
      </c>
      <c r="AA5" s="1">
        <v>0</v>
      </c>
      <c r="AB5" s="24">
        <v>0</v>
      </c>
      <c r="AC5" s="24">
        <v>0</v>
      </c>
      <c r="AD5" s="24">
        <v>0</v>
      </c>
      <c r="AE5" s="2"/>
      <c r="AF5" s="2"/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16</v>
      </c>
      <c r="D6" s="2"/>
      <c r="E6" s="1">
        <v>0</v>
      </c>
      <c r="F6" s="1">
        <v>0</v>
      </c>
      <c r="G6" s="1">
        <v>0</v>
      </c>
      <c r="H6" s="1">
        <v>0</v>
      </c>
      <c r="I6" s="1">
        <v>0</v>
      </c>
      <c r="J6" s="2"/>
      <c r="K6" s="2"/>
      <c r="L6" s="1">
        <v>0</v>
      </c>
      <c r="M6" s="1">
        <v>0</v>
      </c>
      <c r="N6" s="1">
        <v>0</v>
      </c>
      <c r="O6" s="1">
        <v>0</v>
      </c>
      <c r="P6" s="1">
        <v>0</v>
      </c>
      <c r="Q6" s="2"/>
      <c r="R6" s="2"/>
      <c r="S6" s="1">
        <v>0</v>
      </c>
      <c r="T6" s="1">
        <v>0</v>
      </c>
      <c r="U6" s="1">
        <v>0</v>
      </c>
      <c r="V6" s="1">
        <v>0</v>
      </c>
      <c r="W6" s="1">
        <v>0</v>
      </c>
      <c r="X6" s="2"/>
      <c r="Y6" s="2"/>
      <c r="Z6" s="1">
        <v>0</v>
      </c>
      <c r="AA6" s="1">
        <v>0</v>
      </c>
      <c r="AB6" s="24">
        <v>0</v>
      </c>
      <c r="AC6" s="24">
        <v>0</v>
      </c>
      <c r="AD6" s="24">
        <v>16</v>
      </c>
      <c r="AE6" s="2"/>
      <c r="AF6" s="2"/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32</v>
      </c>
      <c r="D7" s="26"/>
      <c r="E7" s="1">
        <v>0</v>
      </c>
      <c r="F7" s="1">
        <v>0</v>
      </c>
      <c r="G7" s="1">
        <v>0</v>
      </c>
      <c r="H7" s="1">
        <v>0</v>
      </c>
      <c r="I7" s="1">
        <v>0</v>
      </c>
      <c r="J7" s="26"/>
      <c r="K7" s="26"/>
      <c r="L7" s="1">
        <v>0</v>
      </c>
      <c r="M7" s="1">
        <v>0</v>
      </c>
      <c r="N7" s="1">
        <v>0</v>
      </c>
      <c r="O7" s="1">
        <v>0</v>
      </c>
      <c r="P7" s="1">
        <v>0</v>
      </c>
      <c r="Q7" s="2"/>
      <c r="R7" s="2"/>
      <c r="S7" s="1">
        <v>0</v>
      </c>
      <c r="T7" s="1">
        <v>0</v>
      </c>
      <c r="U7" s="1">
        <v>0</v>
      </c>
      <c r="V7" s="1">
        <v>0</v>
      </c>
      <c r="W7" s="1">
        <v>0</v>
      </c>
      <c r="X7" s="2"/>
      <c r="Y7" s="2"/>
      <c r="Z7" s="1">
        <v>0</v>
      </c>
      <c r="AA7" s="1">
        <v>0</v>
      </c>
      <c r="AB7" s="24">
        <v>0</v>
      </c>
      <c r="AC7" s="24">
        <v>0</v>
      </c>
      <c r="AD7" s="24">
        <v>0</v>
      </c>
      <c r="AE7" s="2"/>
      <c r="AF7" s="2"/>
      <c r="AG7" s="1">
        <v>16</v>
      </c>
      <c r="AH7" s="1">
        <v>16</v>
      </c>
    </row>
    <row r="8" spans="1:34">
      <c r="A8" s="1">
        <v>6</v>
      </c>
      <c r="B8" s="1" t="s">
        <v>8</v>
      </c>
      <c r="C8" s="1">
        <f t="shared" si="0"/>
        <v>48</v>
      </c>
      <c r="D8" s="2"/>
      <c r="E8" s="1">
        <v>0</v>
      </c>
      <c r="F8" s="1">
        <v>0</v>
      </c>
      <c r="G8" s="1">
        <v>0</v>
      </c>
      <c r="H8" s="1">
        <v>0</v>
      </c>
      <c r="I8" s="1">
        <v>0</v>
      </c>
      <c r="J8" s="2"/>
      <c r="K8" s="2"/>
      <c r="L8" s="1">
        <v>0</v>
      </c>
      <c r="M8" s="1">
        <v>0</v>
      </c>
      <c r="N8" s="1">
        <v>0</v>
      </c>
      <c r="O8" s="1">
        <v>16</v>
      </c>
      <c r="P8" s="1">
        <v>0</v>
      </c>
      <c r="Q8" s="2"/>
      <c r="R8" s="2"/>
      <c r="S8" s="1">
        <v>0</v>
      </c>
      <c r="T8" s="1">
        <v>0</v>
      </c>
      <c r="U8" s="1">
        <v>0</v>
      </c>
      <c r="V8" s="1">
        <v>0</v>
      </c>
      <c r="W8" s="1">
        <v>16</v>
      </c>
      <c r="X8" s="2"/>
      <c r="Y8" s="2"/>
      <c r="Z8" s="1">
        <v>0</v>
      </c>
      <c r="AA8" s="1">
        <v>0</v>
      </c>
      <c r="AB8" s="24">
        <v>0</v>
      </c>
      <c r="AC8" s="24">
        <v>0</v>
      </c>
      <c r="AD8" s="24">
        <v>0</v>
      </c>
      <c r="AE8" s="2"/>
      <c r="AF8" s="2"/>
      <c r="AG8" s="1">
        <v>0</v>
      </c>
      <c r="AH8" s="1">
        <v>16</v>
      </c>
    </row>
    <row r="9" spans="1:34">
      <c r="A9" s="1">
        <v>7</v>
      </c>
      <c r="B9" s="1" t="s">
        <v>9</v>
      </c>
      <c r="C9" s="1">
        <f t="shared" si="0"/>
        <v>16</v>
      </c>
      <c r="D9" s="2"/>
      <c r="E9" s="1">
        <v>0</v>
      </c>
      <c r="F9" s="1">
        <v>0</v>
      </c>
      <c r="G9" s="1">
        <v>0</v>
      </c>
      <c r="H9" s="1">
        <v>0</v>
      </c>
      <c r="I9" s="1">
        <v>0</v>
      </c>
      <c r="J9" s="26"/>
      <c r="K9" s="26"/>
      <c r="L9" s="1">
        <v>0</v>
      </c>
      <c r="M9" s="1">
        <v>0</v>
      </c>
      <c r="N9" s="1">
        <v>0</v>
      </c>
      <c r="O9" s="1">
        <v>0</v>
      </c>
      <c r="P9" s="1">
        <v>0</v>
      </c>
      <c r="Q9" s="26"/>
      <c r="R9" s="26"/>
      <c r="S9" s="1">
        <v>0</v>
      </c>
      <c r="T9" s="1">
        <v>0</v>
      </c>
      <c r="U9" s="1">
        <v>16</v>
      </c>
      <c r="V9" s="1">
        <v>0</v>
      </c>
      <c r="W9" s="1">
        <v>0</v>
      </c>
      <c r="X9" s="26"/>
      <c r="Y9" s="26"/>
      <c r="Z9" s="1">
        <v>0</v>
      </c>
      <c r="AA9" s="1">
        <v>0</v>
      </c>
      <c r="AB9" s="24">
        <v>0</v>
      </c>
      <c r="AC9" s="24">
        <v>0</v>
      </c>
      <c r="AD9" s="24">
        <v>0</v>
      </c>
      <c r="AE9" s="26"/>
      <c r="AF9" s="26"/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16</v>
      </c>
      <c r="D10" s="2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/>
      <c r="K10" s="2"/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/>
      <c r="R10" s="33"/>
      <c r="S10" s="1">
        <v>0</v>
      </c>
      <c r="T10" s="1">
        <v>0</v>
      </c>
      <c r="U10" s="1">
        <v>0</v>
      </c>
      <c r="V10" s="1">
        <v>0</v>
      </c>
      <c r="W10" s="1">
        <v>16</v>
      </c>
      <c r="X10" s="2"/>
      <c r="Y10" s="2"/>
      <c r="Z10" s="1">
        <v>0</v>
      </c>
      <c r="AA10" s="1">
        <v>0</v>
      </c>
      <c r="AB10" s="24">
        <v>0</v>
      </c>
      <c r="AC10" s="24">
        <v>0</v>
      </c>
      <c r="AD10" s="24">
        <v>0</v>
      </c>
      <c r="AE10" s="2"/>
      <c r="AF10" s="2"/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33</v>
      </c>
      <c r="D11" s="2"/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2"/>
      <c r="K11" s="2"/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/>
      <c r="R11" s="2"/>
      <c r="S11" s="1">
        <v>0</v>
      </c>
      <c r="T11" s="1">
        <v>0</v>
      </c>
      <c r="U11" s="1">
        <v>0</v>
      </c>
      <c r="V11" s="1">
        <v>16</v>
      </c>
      <c r="W11" s="1">
        <v>0</v>
      </c>
      <c r="X11" s="2"/>
      <c r="Y11" s="2"/>
      <c r="Z11" s="1">
        <v>0</v>
      </c>
      <c r="AA11" s="1">
        <v>0</v>
      </c>
      <c r="AB11" s="24">
        <v>16</v>
      </c>
      <c r="AC11" s="24">
        <v>0</v>
      </c>
      <c r="AD11" s="24">
        <v>0</v>
      </c>
      <c r="AE11" s="2"/>
      <c r="AF11" s="2"/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29</v>
      </c>
      <c r="D12" s="32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6"/>
      <c r="K12" s="26"/>
      <c r="L12" s="1">
        <v>16</v>
      </c>
      <c r="M12" s="1">
        <v>0</v>
      </c>
      <c r="N12" s="1">
        <v>0</v>
      </c>
      <c r="O12" s="1">
        <v>0</v>
      </c>
      <c r="P12" s="1">
        <v>0</v>
      </c>
      <c r="Q12" s="26"/>
      <c r="R12" s="26"/>
      <c r="S12" s="1">
        <v>0</v>
      </c>
      <c r="T12" s="1">
        <v>0</v>
      </c>
      <c r="U12" s="1">
        <v>0</v>
      </c>
      <c r="V12" s="1">
        <v>0</v>
      </c>
      <c r="W12" s="1">
        <v>8</v>
      </c>
      <c r="X12" s="26"/>
      <c r="Y12" s="26"/>
      <c r="Z12" s="1">
        <v>0</v>
      </c>
      <c r="AA12" s="1">
        <v>0</v>
      </c>
      <c r="AB12" s="24">
        <v>0</v>
      </c>
      <c r="AC12" s="24">
        <v>0</v>
      </c>
      <c r="AD12" s="24">
        <v>0</v>
      </c>
      <c r="AE12" s="26"/>
      <c r="AF12" s="26"/>
      <c r="AG12" s="1">
        <v>5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16</v>
      </c>
      <c r="D13" s="2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/>
      <c r="K13" s="2"/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/>
      <c r="R13" s="2"/>
      <c r="S13" s="1">
        <v>0</v>
      </c>
      <c r="T13" s="1">
        <v>16</v>
      </c>
      <c r="U13" s="1">
        <v>0</v>
      </c>
      <c r="V13" s="1">
        <v>0</v>
      </c>
      <c r="W13" s="1">
        <v>0</v>
      </c>
      <c r="X13" s="2"/>
      <c r="Y13" s="2"/>
      <c r="Z13" s="1">
        <v>0</v>
      </c>
      <c r="AA13" s="1">
        <v>0</v>
      </c>
      <c r="AB13" s="24">
        <v>0</v>
      </c>
      <c r="AC13" s="24">
        <v>0</v>
      </c>
      <c r="AD13" s="24">
        <v>0</v>
      </c>
      <c r="AE13" s="2"/>
      <c r="AF13" s="2"/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128</v>
      </c>
      <c r="D14" s="2"/>
      <c r="E14" s="1">
        <v>0</v>
      </c>
      <c r="F14" s="1">
        <v>16</v>
      </c>
      <c r="G14" s="1">
        <v>0</v>
      </c>
      <c r="H14" s="1">
        <v>0</v>
      </c>
      <c r="I14" s="1">
        <v>16</v>
      </c>
      <c r="J14" s="26"/>
      <c r="K14" s="26"/>
      <c r="L14" s="1">
        <v>0</v>
      </c>
      <c r="M14" s="1">
        <v>0</v>
      </c>
      <c r="N14" s="1">
        <v>0</v>
      </c>
      <c r="O14" s="1">
        <v>0</v>
      </c>
      <c r="P14" s="1">
        <v>16</v>
      </c>
      <c r="Q14" s="26"/>
      <c r="R14" s="26"/>
      <c r="S14" s="1">
        <v>16</v>
      </c>
      <c r="T14" s="1">
        <v>0</v>
      </c>
      <c r="U14" s="1">
        <v>0</v>
      </c>
      <c r="V14" s="1">
        <v>0</v>
      </c>
      <c r="W14" s="1">
        <v>16</v>
      </c>
      <c r="X14" s="26"/>
      <c r="Y14" s="26"/>
      <c r="Z14" s="1">
        <v>0</v>
      </c>
      <c r="AA14" s="1">
        <v>0</v>
      </c>
      <c r="AB14" s="24">
        <v>16</v>
      </c>
      <c r="AC14" s="24">
        <v>0</v>
      </c>
      <c r="AD14" s="24">
        <v>16</v>
      </c>
      <c r="AE14" s="26"/>
      <c r="AF14" s="26"/>
      <c r="AG14" s="1">
        <v>0</v>
      </c>
      <c r="AH14" s="1">
        <v>16</v>
      </c>
    </row>
    <row r="15" spans="1:34" ht="16.25" hidden="1" customHeight="1">
      <c r="A15" s="1">
        <v>13</v>
      </c>
      <c r="B15" s="1" t="s">
        <v>15</v>
      </c>
      <c r="C15" s="1">
        <f t="shared" si="0"/>
        <v>0</v>
      </c>
      <c r="D15" s="2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/>
      <c r="K15" s="2"/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/>
      <c r="R15" s="2"/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2"/>
      <c r="Y15" s="2"/>
      <c r="Z15" s="1">
        <v>0</v>
      </c>
      <c r="AA15" s="1">
        <v>0</v>
      </c>
      <c r="AB15" s="24">
        <v>0</v>
      </c>
      <c r="AC15" s="24">
        <v>0</v>
      </c>
      <c r="AD15" s="24">
        <v>0</v>
      </c>
      <c r="AE15" s="2"/>
      <c r="AF15" s="2"/>
      <c r="AG15" s="1">
        <v>0</v>
      </c>
      <c r="AH15" s="1">
        <v>0</v>
      </c>
    </row>
    <row r="16" spans="1:34">
      <c r="A16" s="1">
        <v>13</v>
      </c>
      <c r="B16" s="1" t="s">
        <v>16</v>
      </c>
      <c r="C16" s="1">
        <f t="shared" si="0"/>
        <v>50</v>
      </c>
      <c r="D16" s="2"/>
      <c r="E16" s="1">
        <v>16</v>
      </c>
      <c r="F16" s="1">
        <v>0</v>
      </c>
      <c r="G16" s="1">
        <v>0</v>
      </c>
      <c r="H16" s="1">
        <v>16</v>
      </c>
      <c r="I16" s="1">
        <v>0</v>
      </c>
      <c r="J16" s="26"/>
      <c r="K16" s="26"/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6"/>
      <c r="R16" s="26"/>
      <c r="S16" s="1">
        <v>0</v>
      </c>
      <c r="T16" s="1">
        <v>8</v>
      </c>
      <c r="U16" s="1">
        <v>0</v>
      </c>
      <c r="V16" s="1">
        <v>0</v>
      </c>
      <c r="W16" s="1">
        <v>7</v>
      </c>
      <c r="X16" s="26"/>
      <c r="Y16" s="26"/>
      <c r="Z16" s="1">
        <v>0</v>
      </c>
      <c r="AA16" s="1">
        <v>0</v>
      </c>
      <c r="AB16" s="24">
        <v>0</v>
      </c>
      <c r="AC16" s="24">
        <v>0</v>
      </c>
      <c r="AD16" s="24">
        <v>0</v>
      </c>
      <c r="AE16" s="26"/>
      <c r="AF16" s="26"/>
      <c r="AG16" s="1">
        <v>0</v>
      </c>
      <c r="AH16" s="1">
        <v>3</v>
      </c>
    </row>
    <row r="17" spans="1:34" ht="18">
      <c r="A17" s="1">
        <v>14</v>
      </c>
      <c r="B17" s="1" t="s">
        <v>271</v>
      </c>
      <c r="C17" s="1">
        <f t="shared" si="0"/>
        <v>32</v>
      </c>
      <c r="D17" s="26"/>
      <c r="E17" s="1">
        <v>16</v>
      </c>
      <c r="F17" s="1">
        <v>0</v>
      </c>
      <c r="G17" s="1">
        <v>0</v>
      </c>
      <c r="H17" s="1">
        <v>0</v>
      </c>
      <c r="I17" s="1">
        <v>0</v>
      </c>
      <c r="J17" s="26"/>
      <c r="K17" s="26"/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2"/>
      <c r="R17" s="2"/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2"/>
      <c r="Y17" s="34"/>
      <c r="Z17" s="1">
        <v>0</v>
      </c>
      <c r="AA17" s="1">
        <v>0</v>
      </c>
      <c r="AB17" s="24">
        <v>8</v>
      </c>
      <c r="AC17" s="24">
        <v>0</v>
      </c>
      <c r="AD17" s="24">
        <v>0</v>
      </c>
      <c r="AE17" s="2"/>
      <c r="AF17" s="2"/>
      <c r="AG17" s="1">
        <v>0</v>
      </c>
      <c r="AH17" s="1">
        <v>8</v>
      </c>
    </row>
    <row r="18" spans="1:34">
      <c r="A18" s="1">
        <v>15</v>
      </c>
      <c r="B18" s="1" t="s">
        <v>301</v>
      </c>
      <c r="C18" s="1">
        <f t="shared" si="0"/>
        <v>24</v>
      </c>
      <c r="D18" s="26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6"/>
      <c r="K18" s="26"/>
      <c r="L18" s="1">
        <v>0</v>
      </c>
      <c r="M18" s="1">
        <v>0</v>
      </c>
      <c r="N18" s="1">
        <v>0</v>
      </c>
      <c r="O18" s="1">
        <v>0</v>
      </c>
      <c r="P18" s="1">
        <v>16</v>
      </c>
      <c r="Q18" s="2"/>
      <c r="R18" s="2"/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2"/>
      <c r="Y18" s="2"/>
      <c r="Z18" s="1">
        <v>0</v>
      </c>
      <c r="AA18" s="1">
        <v>0</v>
      </c>
      <c r="AB18" s="24">
        <v>8</v>
      </c>
      <c r="AC18" s="24">
        <v>0</v>
      </c>
      <c r="AD18" s="24">
        <v>0</v>
      </c>
      <c r="AE18" s="2"/>
      <c r="AF18" s="2"/>
      <c r="AG18" s="1">
        <v>0</v>
      </c>
      <c r="AH18" s="1">
        <v>0</v>
      </c>
    </row>
    <row r="19" spans="1:34">
      <c r="A19" s="1">
        <v>16</v>
      </c>
      <c r="B19" s="1" t="s">
        <v>343</v>
      </c>
      <c r="C19" s="1">
        <f t="shared" si="0"/>
        <v>0</v>
      </c>
      <c r="D19" s="26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26"/>
      <c r="K19" s="26"/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2"/>
      <c r="R19" s="2"/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2"/>
      <c r="Y19" s="2"/>
      <c r="Z19" s="1">
        <v>0</v>
      </c>
      <c r="AA19" s="1">
        <v>0</v>
      </c>
      <c r="AB19" s="24">
        <v>0</v>
      </c>
      <c r="AC19" s="24">
        <v>0</v>
      </c>
      <c r="AD19" s="24">
        <v>0</v>
      </c>
      <c r="AE19" s="2"/>
      <c r="AF19" s="2"/>
      <c r="AG19" s="1">
        <v>0</v>
      </c>
      <c r="AH19" s="1">
        <v>0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2161-0B9D-4D2E-AFDA-779C8B735031}">
  <sheetPr>
    <tabColor rgb="FF92D050"/>
    <pageSetUpPr fitToPage="1"/>
  </sheetPr>
  <dimension ref="A1:AH19"/>
  <sheetViews>
    <sheetView workbookViewId="0">
      <selection activeCell="AI1" sqref="AI1"/>
    </sheetView>
  </sheetViews>
  <sheetFormatPr baseColWidth="10" defaultColWidth="8.83203125" defaultRowHeight="15"/>
  <cols>
    <col min="3" max="3" width="15.33203125" customWidth="1"/>
    <col min="4" max="34" width="8.83203125" customWidth="1"/>
    <col min="35" max="35" width="0" hidden="1" customWidth="1"/>
  </cols>
  <sheetData>
    <row r="1" spans="1:34" ht="28.25" customHeight="1">
      <c r="A1" s="59" t="s">
        <v>19</v>
      </c>
      <c r="B1" s="59"/>
      <c r="C1" s="37" t="s">
        <v>323</v>
      </c>
      <c r="D1" s="53">
        <v>45627</v>
      </c>
      <c r="E1" s="53">
        <v>45628</v>
      </c>
      <c r="F1" s="53">
        <v>45629</v>
      </c>
      <c r="G1" s="53">
        <v>45630</v>
      </c>
      <c r="H1" s="53">
        <v>45631</v>
      </c>
      <c r="I1" s="53">
        <v>45632</v>
      </c>
      <c r="J1" s="53">
        <v>45633</v>
      </c>
      <c r="K1" s="53">
        <v>45634</v>
      </c>
      <c r="L1" s="53">
        <v>45635</v>
      </c>
      <c r="M1" s="53">
        <v>45636</v>
      </c>
      <c r="N1" s="53">
        <v>45637</v>
      </c>
      <c r="O1" s="53">
        <v>45638</v>
      </c>
      <c r="P1" s="53">
        <v>45639</v>
      </c>
      <c r="Q1" s="53">
        <v>45640</v>
      </c>
      <c r="R1" s="53">
        <v>45641</v>
      </c>
      <c r="S1" s="53">
        <v>45642</v>
      </c>
      <c r="T1" s="53">
        <v>45643</v>
      </c>
      <c r="U1" s="53">
        <v>45644</v>
      </c>
      <c r="V1" s="53">
        <v>45645</v>
      </c>
      <c r="W1" s="53">
        <v>45646</v>
      </c>
      <c r="X1" s="53">
        <v>45647</v>
      </c>
      <c r="Y1" s="53">
        <v>45648</v>
      </c>
      <c r="Z1" s="53">
        <v>45649</v>
      </c>
      <c r="AA1" s="53">
        <v>45650</v>
      </c>
      <c r="AB1" s="53">
        <v>45651</v>
      </c>
      <c r="AC1" s="53">
        <v>45652</v>
      </c>
      <c r="AD1" s="53">
        <v>45653</v>
      </c>
      <c r="AE1" s="53">
        <v>45654</v>
      </c>
      <c r="AF1" s="53">
        <v>45655</v>
      </c>
      <c r="AG1" s="53">
        <v>45656</v>
      </c>
      <c r="AH1" s="53">
        <v>45657</v>
      </c>
    </row>
    <row r="2" spans="1:34">
      <c r="A2" s="1" t="s">
        <v>1</v>
      </c>
      <c r="B2" s="1" t="s">
        <v>2</v>
      </c>
      <c r="C2" s="38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1">
        <v>1</v>
      </c>
      <c r="B3" s="1" t="s">
        <v>187</v>
      </c>
      <c r="C3" s="1">
        <f>SUM(D3:AH3)</f>
        <v>0</v>
      </c>
      <c r="D3" s="2"/>
      <c r="E3" s="1">
        <v>0</v>
      </c>
      <c r="F3" s="1">
        <v>0</v>
      </c>
      <c r="G3" s="1">
        <v>0</v>
      </c>
      <c r="H3" s="1">
        <v>0</v>
      </c>
      <c r="I3" s="1">
        <v>0</v>
      </c>
      <c r="J3" s="2"/>
      <c r="K3" s="2"/>
      <c r="L3" s="1">
        <v>0</v>
      </c>
      <c r="M3" s="1">
        <v>0</v>
      </c>
      <c r="N3" s="1">
        <v>0</v>
      </c>
      <c r="O3" s="1">
        <v>0</v>
      </c>
      <c r="P3" s="1">
        <v>0</v>
      </c>
      <c r="Q3" s="2"/>
      <c r="R3" s="2"/>
      <c r="S3" s="1">
        <v>0</v>
      </c>
      <c r="T3" s="1">
        <v>0</v>
      </c>
      <c r="U3" s="1">
        <v>0</v>
      </c>
      <c r="V3" s="1">
        <v>0</v>
      </c>
      <c r="W3" s="1">
        <v>0</v>
      </c>
      <c r="X3" s="2"/>
      <c r="Y3" s="2"/>
      <c r="Z3" s="1">
        <v>0</v>
      </c>
      <c r="AA3" s="1">
        <v>0</v>
      </c>
      <c r="AB3" s="24">
        <v>0</v>
      </c>
      <c r="AC3" s="24">
        <v>0</v>
      </c>
      <c r="AD3" s="24">
        <v>0</v>
      </c>
      <c r="AE3" s="26"/>
      <c r="AF3" s="26"/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9" si="0">SUM(D4:AH4)</f>
        <v>0</v>
      </c>
      <c r="D4" s="2"/>
      <c r="E4" s="1">
        <v>0</v>
      </c>
      <c r="F4" s="1">
        <v>0</v>
      </c>
      <c r="G4" s="1">
        <v>0</v>
      </c>
      <c r="H4" s="1">
        <v>0</v>
      </c>
      <c r="I4" s="1">
        <v>0</v>
      </c>
      <c r="J4" s="2"/>
      <c r="K4" s="2"/>
      <c r="L4" s="1">
        <v>0</v>
      </c>
      <c r="M4" s="1">
        <v>0</v>
      </c>
      <c r="N4" s="1">
        <v>0</v>
      </c>
      <c r="O4" s="1">
        <v>0</v>
      </c>
      <c r="P4" s="1">
        <v>0</v>
      </c>
      <c r="Q4" s="2"/>
      <c r="R4" s="2"/>
      <c r="S4" s="1">
        <v>0</v>
      </c>
      <c r="T4" s="1">
        <v>0</v>
      </c>
      <c r="U4" s="1">
        <v>0</v>
      </c>
      <c r="V4" s="1">
        <v>0</v>
      </c>
      <c r="W4" s="1">
        <v>0</v>
      </c>
      <c r="X4" s="2"/>
      <c r="Y4" s="2"/>
      <c r="Z4" s="1">
        <v>0</v>
      </c>
      <c r="AA4" s="1">
        <v>0</v>
      </c>
      <c r="AB4" s="24">
        <v>0</v>
      </c>
      <c r="AC4" s="24">
        <v>0</v>
      </c>
      <c r="AD4" s="24">
        <v>0</v>
      </c>
      <c r="AE4" s="2"/>
      <c r="AF4" s="2"/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2</v>
      </c>
      <c r="D5" s="2"/>
      <c r="E5" s="1">
        <v>0</v>
      </c>
      <c r="F5" s="1">
        <v>0</v>
      </c>
      <c r="G5" s="1">
        <v>0</v>
      </c>
      <c r="H5" s="1">
        <v>0</v>
      </c>
      <c r="I5" s="1">
        <v>0</v>
      </c>
      <c r="J5" s="2"/>
      <c r="K5" s="2"/>
      <c r="L5" s="1">
        <v>0</v>
      </c>
      <c r="M5" s="1">
        <v>0</v>
      </c>
      <c r="N5" s="1">
        <v>0</v>
      </c>
      <c r="O5" s="1">
        <v>0</v>
      </c>
      <c r="P5" s="1">
        <v>0</v>
      </c>
      <c r="Q5" s="2"/>
      <c r="R5" s="2"/>
      <c r="S5" s="1">
        <v>0</v>
      </c>
      <c r="T5" s="1">
        <v>0</v>
      </c>
      <c r="U5" s="1">
        <v>0</v>
      </c>
      <c r="V5" s="1">
        <v>0</v>
      </c>
      <c r="W5" s="1">
        <v>0</v>
      </c>
      <c r="X5" s="2"/>
      <c r="Y5" s="2"/>
      <c r="Z5" s="1">
        <v>0</v>
      </c>
      <c r="AA5" s="1">
        <v>0</v>
      </c>
      <c r="AB5" s="24">
        <v>0</v>
      </c>
      <c r="AC5" s="24">
        <v>0</v>
      </c>
      <c r="AD5" s="24">
        <v>0</v>
      </c>
      <c r="AE5" s="2"/>
      <c r="AF5" s="2"/>
      <c r="AG5" s="1">
        <v>2</v>
      </c>
      <c r="AH5" s="1">
        <v>0</v>
      </c>
    </row>
    <row r="6" spans="1:34">
      <c r="A6" s="1">
        <v>4</v>
      </c>
      <c r="B6" s="1" t="s">
        <v>188</v>
      </c>
      <c r="C6" s="1">
        <f t="shared" si="0"/>
        <v>34</v>
      </c>
      <c r="D6" s="2"/>
      <c r="E6" s="1">
        <v>0</v>
      </c>
      <c r="F6" s="1">
        <v>6</v>
      </c>
      <c r="G6" s="1">
        <v>0</v>
      </c>
      <c r="H6" s="1">
        <v>6</v>
      </c>
      <c r="I6" s="1">
        <v>0</v>
      </c>
      <c r="J6" s="2">
        <v>6</v>
      </c>
      <c r="K6" s="2"/>
      <c r="L6" s="1">
        <v>0</v>
      </c>
      <c r="M6" s="1">
        <v>0</v>
      </c>
      <c r="N6" s="1">
        <v>0</v>
      </c>
      <c r="O6" s="1">
        <v>0</v>
      </c>
      <c r="P6" s="1">
        <v>6</v>
      </c>
      <c r="Q6" s="2"/>
      <c r="R6" s="2"/>
      <c r="S6" s="1">
        <v>0</v>
      </c>
      <c r="T6" s="1">
        <v>0</v>
      </c>
      <c r="U6" s="1">
        <v>0</v>
      </c>
      <c r="V6" s="1">
        <v>0</v>
      </c>
      <c r="W6" s="1">
        <v>0</v>
      </c>
      <c r="X6" s="2"/>
      <c r="Y6" s="2"/>
      <c r="Z6" s="1">
        <v>0</v>
      </c>
      <c r="AA6" s="1">
        <v>4</v>
      </c>
      <c r="AB6" s="24">
        <v>6</v>
      </c>
      <c r="AC6" s="24">
        <v>0</v>
      </c>
      <c r="AD6" s="24">
        <v>0</v>
      </c>
      <c r="AE6" s="2"/>
      <c r="AF6" s="2"/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17</v>
      </c>
      <c r="D7" s="26"/>
      <c r="E7" s="1">
        <v>0</v>
      </c>
      <c r="F7" s="1">
        <v>0</v>
      </c>
      <c r="G7" s="1">
        <v>0</v>
      </c>
      <c r="H7" s="1">
        <v>0</v>
      </c>
      <c r="I7" s="1">
        <v>0</v>
      </c>
      <c r="J7" s="26"/>
      <c r="K7" s="26"/>
      <c r="L7" s="1">
        <v>0</v>
      </c>
      <c r="M7" s="1">
        <v>0</v>
      </c>
      <c r="N7" s="1">
        <v>0</v>
      </c>
      <c r="O7" s="1">
        <v>0</v>
      </c>
      <c r="P7" s="1">
        <v>0</v>
      </c>
      <c r="Q7" s="2"/>
      <c r="R7" s="2"/>
      <c r="S7" s="1">
        <v>8</v>
      </c>
      <c r="T7" s="1">
        <v>0</v>
      </c>
      <c r="U7" s="1">
        <v>9</v>
      </c>
      <c r="V7" s="1">
        <v>0</v>
      </c>
      <c r="W7" s="1">
        <v>0</v>
      </c>
      <c r="X7" s="2"/>
      <c r="Y7" s="2"/>
      <c r="Z7" s="1">
        <v>0</v>
      </c>
      <c r="AA7" s="1">
        <v>0</v>
      </c>
      <c r="AB7" s="24">
        <v>0</v>
      </c>
      <c r="AC7" s="24">
        <v>0</v>
      </c>
      <c r="AD7" s="24">
        <v>0</v>
      </c>
      <c r="AE7" s="2"/>
      <c r="AF7" s="2"/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14</v>
      </c>
      <c r="D8" s="2"/>
      <c r="E8" s="1">
        <v>1</v>
      </c>
      <c r="F8" s="1">
        <v>0</v>
      </c>
      <c r="G8" s="1">
        <v>1</v>
      </c>
      <c r="H8" s="1">
        <v>0</v>
      </c>
      <c r="I8" s="1">
        <v>0</v>
      </c>
      <c r="J8" s="2"/>
      <c r="K8" s="2"/>
      <c r="L8" s="1">
        <v>1</v>
      </c>
      <c r="M8" s="1">
        <v>1</v>
      </c>
      <c r="N8" s="1">
        <v>1</v>
      </c>
      <c r="O8" s="1">
        <v>0</v>
      </c>
      <c r="P8" s="1">
        <v>1</v>
      </c>
      <c r="Q8" s="2"/>
      <c r="R8" s="2"/>
      <c r="S8" s="1">
        <v>1</v>
      </c>
      <c r="T8" s="1">
        <v>1</v>
      </c>
      <c r="U8" s="1">
        <v>1</v>
      </c>
      <c r="V8" s="1">
        <v>1</v>
      </c>
      <c r="W8" s="1">
        <v>0</v>
      </c>
      <c r="X8" s="2"/>
      <c r="Y8" s="2"/>
      <c r="Z8" s="1">
        <v>1</v>
      </c>
      <c r="AA8" s="1">
        <v>0</v>
      </c>
      <c r="AB8" s="24">
        <v>1</v>
      </c>
      <c r="AC8" s="24">
        <v>1</v>
      </c>
      <c r="AD8" s="24">
        <v>0</v>
      </c>
      <c r="AE8" s="2"/>
      <c r="AF8" s="2"/>
      <c r="AG8" s="1">
        <v>1</v>
      </c>
      <c r="AH8" s="1">
        <v>0</v>
      </c>
    </row>
    <row r="9" spans="1:34">
      <c r="A9" s="1">
        <v>0</v>
      </c>
      <c r="B9" s="1" t="s">
        <v>9</v>
      </c>
      <c r="C9" s="1">
        <f t="shared" si="0"/>
        <v>9</v>
      </c>
      <c r="D9" s="2"/>
      <c r="E9" s="1">
        <v>0</v>
      </c>
      <c r="F9" s="1">
        <v>0</v>
      </c>
      <c r="G9" s="1">
        <v>0</v>
      </c>
      <c r="H9" s="1">
        <v>0</v>
      </c>
      <c r="I9" s="1">
        <v>0</v>
      </c>
      <c r="J9" s="26"/>
      <c r="K9" s="26"/>
      <c r="L9" s="1">
        <v>0</v>
      </c>
      <c r="M9" s="1">
        <v>0</v>
      </c>
      <c r="N9" s="1">
        <v>0</v>
      </c>
      <c r="O9" s="1">
        <v>0</v>
      </c>
      <c r="P9" s="1">
        <v>0</v>
      </c>
      <c r="Q9" s="26"/>
      <c r="R9" s="26"/>
      <c r="S9" s="1">
        <v>0</v>
      </c>
      <c r="T9" s="1">
        <v>0</v>
      </c>
      <c r="U9" s="1">
        <v>0</v>
      </c>
      <c r="V9" s="1">
        <v>0</v>
      </c>
      <c r="W9" s="1">
        <v>0</v>
      </c>
      <c r="X9" s="26"/>
      <c r="Y9" s="26"/>
      <c r="Z9" s="1">
        <v>0</v>
      </c>
      <c r="AA9" s="1">
        <v>4</v>
      </c>
      <c r="AB9" s="24">
        <v>0</v>
      </c>
      <c r="AC9" s="24">
        <v>5</v>
      </c>
      <c r="AD9" s="24">
        <v>0</v>
      </c>
      <c r="AE9" s="26"/>
      <c r="AF9" s="26"/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2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/>
      <c r="K10" s="2"/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/>
      <c r="R10" s="33"/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2"/>
      <c r="Y10" s="2"/>
      <c r="Z10" s="1">
        <v>0</v>
      </c>
      <c r="AA10" s="1">
        <v>0</v>
      </c>
      <c r="AB10" s="24">
        <v>0</v>
      </c>
      <c r="AC10" s="24">
        <v>0</v>
      </c>
      <c r="AD10" s="24">
        <v>0</v>
      </c>
      <c r="AE10" s="2"/>
      <c r="AF10" s="2"/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0</v>
      </c>
      <c r="D11" s="2"/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/>
      <c r="K11" s="2"/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/>
      <c r="R11" s="2"/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2"/>
      <c r="Y11" s="2"/>
      <c r="Z11" s="1">
        <v>0</v>
      </c>
      <c r="AA11" s="1">
        <v>0</v>
      </c>
      <c r="AB11" s="24">
        <v>0</v>
      </c>
      <c r="AC11" s="24">
        <v>0</v>
      </c>
      <c r="AD11" s="24">
        <v>0</v>
      </c>
      <c r="AE11" s="2"/>
      <c r="AF11" s="2"/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0</v>
      </c>
      <c r="D12" s="32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6"/>
      <c r="K12" s="26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6"/>
      <c r="R12" s="26"/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26"/>
      <c r="Y12" s="26"/>
      <c r="Z12" s="1">
        <v>0</v>
      </c>
      <c r="AA12" s="1">
        <v>0</v>
      </c>
      <c r="AB12" s="24">
        <v>0</v>
      </c>
      <c r="AC12" s="24">
        <v>0</v>
      </c>
      <c r="AD12" s="24">
        <v>0</v>
      </c>
      <c r="AE12" s="26"/>
      <c r="AF12" s="26"/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0</v>
      </c>
      <c r="D13" s="2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/>
      <c r="K13" s="2"/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/>
      <c r="R13" s="2"/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2"/>
      <c r="Y13" s="2"/>
      <c r="Z13" s="1">
        <v>0</v>
      </c>
      <c r="AA13" s="1">
        <v>0</v>
      </c>
      <c r="AB13" s="24">
        <v>0</v>
      </c>
      <c r="AC13" s="24">
        <v>0</v>
      </c>
      <c r="AD13" s="24">
        <v>0</v>
      </c>
      <c r="AE13" s="2"/>
      <c r="AF13" s="2"/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0</v>
      </c>
      <c r="D14" s="2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6"/>
      <c r="K14" s="26"/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26"/>
      <c r="R14" s="26"/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26"/>
      <c r="Y14" s="26"/>
      <c r="Z14" s="1">
        <v>0</v>
      </c>
      <c r="AA14" s="1">
        <v>0</v>
      </c>
      <c r="AB14" s="24">
        <v>0</v>
      </c>
      <c r="AC14" s="24">
        <v>0</v>
      </c>
      <c r="AD14" s="24">
        <v>0</v>
      </c>
      <c r="AE14" s="26"/>
      <c r="AF14" s="26"/>
      <c r="AG14" s="1">
        <v>0</v>
      </c>
      <c r="AH14" s="1">
        <v>0</v>
      </c>
    </row>
    <row r="15" spans="1:34" ht="16.25" customHeight="1">
      <c r="A15" s="1">
        <v>13</v>
      </c>
      <c r="B15" s="1" t="s">
        <v>15</v>
      </c>
      <c r="C15" s="1">
        <f t="shared" si="0"/>
        <v>0</v>
      </c>
      <c r="D15" s="2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/>
      <c r="K15" s="2"/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/>
      <c r="R15" s="2"/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2"/>
      <c r="Y15" s="2"/>
      <c r="Z15" s="1">
        <v>0</v>
      </c>
      <c r="AA15" s="1">
        <v>0</v>
      </c>
      <c r="AB15" s="24">
        <v>0</v>
      </c>
      <c r="AC15" s="24">
        <v>0</v>
      </c>
      <c r="AD15" s="24">
        <v>0</v>
      </c>
      <c r="AE15" s="2"/>
      <c r="AF15" s="2"/>
      <c r="AG15" s="1">
        <v>0</v>
      </c>
      <c r="AH15" s="1">
        <v>0</v>
      </c>
    </row>
    <row r="16" spans="1:34" ht="16.25" customHeight="1">
      <c r="A16" s="1">
        <v>13</v>
      </c>
      <c r="B16" s="1" t="s">
        <v>346</v>
      </c>
      <c r="C16" s="1">
        <f t="shared" si="0"/>
        <v>8</v>
      </c>
      <c r="D16" s="26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26"/>
      <c r="K16" s="26"/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"/>
      <c r="R16" s="2"/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2"/>
      <c r="Y16" s="34"/>
      <c r="Z16" s="1">
        <v>0</v>
      </c>
      <c r="AA16" s="1">
        <v>4</v>
      </c>
      <c r="AB16" s="24">
        <v>4</v>
      </c>
      <c r="AC16" s="24">
        <v>0</v>
      </c>
      <c r="AD16" s="24">
        <v>0</v>
      </c>
      <c r="AE16" s="2"/>
      <c r="AF16" s="2"/>
      <c r="AG16" s="1">
        <v>0</v>
      </c>
      <c r="AH16" s="1">
        <v>0</v>
      </c>
    </row>
    <row r="17" spans="1:34" ht="18">
      <c r="A17" s="1">
        <v>14</v>
      </c>
      <c r="B17" s="1" t="s">
        <v>271</v>
      </c>
      <c r="C17" s="1">
        <f t="shared" si="0"/>
        <v>17</v>
      </c>
      <c r="D17" s="26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6"/>
      <c r="K17" s="26"/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2"/>
      <c r="R17" s="2"/>
      <c r="S17" s="1">
        <v>8</v>
      </c>
      <c r="T17" s="1">
        <v>0</v>
      </c>
      <c r="U17" s="1">
        <v>9</v>
      </c>
      <c r="V17" s="1">
        <v>0</v>
      </c>
      <c r="W17" s="1">
        <v>0</v>
      </c>
      <c r="X17" s="2"/>
      <c r="Y17" s="34"/>
      <c r="Z17" s="1">
        <v>0</v>
      </c>
      <c r="AA17" s="1">
        <v>0</v>
      </c>
      <c r="AB17" s="24">
        <v>0</v>
      </c>
      <c r="AC17" s="24">
        <v>0</v>
      </c>
      <c r="AD17" s="24">
        <v>0</v>
      </c>
      <c r="AE17" s="2"/>
      <c r="AF17" s="2"/>
      <c r="AG17" s="1">
        <v>0</v>
      </c>
      <c r="AH17" s="1">
        <v>0</v>
      </c>
    </row>
    <row r="18" spans="1:34">
      <c r="A18" s="1">
        <v>15</v>
      </c>
      <c r="B18" s="1" t="s">
        <v>301</v>
      </c>
      <c r="C18" s="1">
        <f t="shared" si="0"/>
        <v>17</v>
      </c>
      <c r="D18" s="26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6"/>
      <c r="K18" s="26"/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2"/>
      <c r="R18" s="2"/>
      <c r="S18" s="1">
        <v>8</v>
      </c>
      <c r="T18" s="1">
        <v>0</v>
      </c>
      <c r="U18" s="1">
        <v>9</v>
      </c>
      <c r="V18" s="1">
        <v>0</v>
      </c>
      <c r="W18" s="1">
        <v>0</v>
      </c>
      <c r="X18" s="2"/>
      <c r="Y18" s="2"/>
      <c r="Z18" s="1">
        <v>0</v>
      </c>
      <c r="AA18" s="1">
        <v>0</v>
      </c>
      <c r="AB18" s="24">
        <v>0</v>
      </c>
      <c r="AC18" s="24">
        <v>0</v>
      </c>
      <c r="AD18" s="24">
        <v>0</v>
      </c>
      <c r="AE18" s="2"/>
      <c r="AF18" s="2"/>
      <c r="AG18" s="1">
        <v>0</v>
      </c>
      <c r="AH18" s="1">
        <v>0</v>
      </c>
    </row>
    <row r="19" spans="1:34">
      <c r="A19" s="1">
        <v>16</v>
      </c>
      <c r="B19" s="1" t="s">
        <v>343</v>
      </c>
      <c r="C19" s="1">
        <f t="shared" si="0"/>
        <v>17</v>
      </c>
      <c r="D19" s="26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26"/>
      <c r="K19" s="26"/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2"/>
      <c r="R19" s="2"/>
      <c r="S19" s="1">
        <v>8</v>
      </c>
      <c r="T19" s="1">
        <v>0</v>
      </c>
      <c r="U19" s="1">
        <v>9</v>
      </c>
      <c r="V19" s="1">
        <v>0</v>
      </c>
      <c r="W19" s="1">
        <v>0</v>
      </c>
      <c r="X19" s="2"/>
      <c r="Y19" s="2"/>
      <c r="Z19" s="1">
        <v>0</v>
      </c>
      <c r="AA19" s="1">
        <v>0</v>
      </c>
      <c r="AB19" s="24">
        <v>0</v>
      </c>
      <c r="AC19" s="24">
        <v>0</v>
      </c>
      <c r="AD19" s="24">
        <v>0</v>
      </c>
      <c r="AE19" s="2"/>
      <c r="AF19" s="2"/>
      <c r="AG19" s="1">
        <v>0</v>
      </c>
      <c r="AH19" s="1">
        <v>0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scale="53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2024分析表</vt:lpstr>
      <vt:lpstr>TP加班累計-請假總合_2024</vt:lpstr>
      <vt:lpstr>TP加班-請假總合累計_2023+2024</vt:lpstr>
      <vt:lpstr>TP加班累計-請假總合_2023</vt:lpstr>
      <vt:lpstr>TP1月份請假</vt:lpstr>
      <vt:lpstr>TP出勤1月份</vt:lpstr>
      <vt:lpstr>TP1月份加班</vt:lpstr>
      <vt:lpstr>TP出勤2月份</vt:lpstr>
      <vt:lpstr>TP2月份請假</vt:lpstr>
      <vt:lpstr>TP2月份加班</vt:lpstr>
      <vt:lpstr>TP出勤3月份</vt:lpstr>
      <vt:lpstr>TP3月份請假</vt:lpstr>
      <vt:lpstr>TP3月份加班</vt:lpstr>
      <vt:lpstr>TP出勤4月份</vt:lpstr>
      <vt:lpstr>TP4月份請假</vt:lpstr>
      <vt:lpstr>TP4月份加班</vt:lpstr>
      <vt:lpstr>TP出勤5月份</vt:lpstr>
      <vt:lpstr>TP5月份請假</vt:lpstr>
      <vt:lpstr>TP5月份加班</vt:lpstr>
      <vt:lpstr>TP出勤6月份</vt:lpstr>
      <vt:lpstr>TP6月份請假</vt:lpstr>
      <vt:lpstr>TP6月份加班</vt:lpstr>
      <vt:lpstr>TP出勤7月份</vt:lpstr>
      <vt:lpstr>TP7月份請假</vt:lpstr>
      <vt:lpstr>TP7月份加班</vt:lpstr>
      <vt:lpstr>TP出勤8月份</vt:lpstr>
      <vt:lpstr>TP8月份請假</vt:lpstr>
      <vt:lpstr>TP8月份加班</vt:lpstr>
      <vt:lpstr>TP出勤9月份</vt:lpstr>
      <vt:lpstr>TP9月份請假</vt:lpstr>
      <vt:lpstr>TP9月份加班</vt:lpstr>
      <vt:lpstr>TP出勤10月份</vt:lpstr>
      <vt:lpstr>TP10月份請假</vt:lpstr>
      <vt:lpstr>TP10月份加班</vt:lpstr>
      <vt:lpstr>TP出勤11月份</vt:lpstr>
      <vt:lpstr>TP11月份請假</vt:lpstr>
      <vt:lpstr>TP11月份加班</vt:lpstr>
      <vt:lpstr>TP出勤12月份</vt:lpstr>
      <vt:lpstr>TP12月份請假</vt:lpstr>
      <vt:lpstr>TP12月份加班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林世彬</dc:creator>
  <cp:lastModifiedBy>Cody Li</cp:lastModifiedBy>
  <cp:lastPrinted>2024-11-11T06:06:53Z</cp:lastPrinted>
  <dcterms:created xsi:type="dcterms:W3CDTF">2023-12-18T03:57:47Z</dcterms:created>
  <dcterms:modified xsi:type="dcterms:W3CDTF">2026-02-09T04:45:46Z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90361f-d7d8-42be-944f-5502bb5e2911_Enabled">
    <vt:lpwstr>true</vt:lpwstr>
  </property>
  <property fmtid="{D5CDD505-2E9C-101B-9397-08002B2CF9AE}" pid="3" name="MSIP_Label_0190361f-d7d8-42be-944f-5502bb5e2911_SetDate">
    <vt:lpwstr>2024-10-25T00:05:22Z</vt:lpwstr>
  </property>
  <property fmtid="{D5CDD505-2E9C-101B-9397-08002B2CF9AE}" pid="4" name="MSIP_Label_0190361f-d7d8-42be-944f-5502bb5e2911_Method">
    <vt:lpwstr>Standard</vt:lpwstr>
  </property>
  <property fmtid="{D5CDD505-2E9C-101B-9397-08002B2CF9AE}" pid="5" name="MSIP_Label_0190361f-d7d8-42be-944f-5502bb5e2911_Name">
    <vt:lpwstr>一般</vt:lpwstr>
  </property>
  <property fmtid="{D5CDD505-2E9C-101B-9397-08002B2CF9AE}" pid="6" name="MSIP_Label_0190361f-d7d8-42be-944f-5502bb5e2911_SiteId">
    <vt:lpwstr>cdb587e9-824c-41b5-b47f-5af9864b075b</vt:lpwstr>
  </property>
  <property fmtid="{D5CDD505-2E9C-101B-9397-08002B2CF9AE}" pid="7" name="MSIP_Label_0190361f-d7d8-42be-944f-5502bb5e2911_ActionId">
    <vt:lpwstr>7fb464c9-ad32-4c38-830a-f058c8024ac9</vt:lpwstr>
  </property>
  <property fmtid="{D5CDD505-2E9C-101B-9397-08002B2CF9AE}" pid="8" name="MSIP_Label_0190361f-d7d8-42be-944f-5502bb5e2911_ContentBits">
    <vt:lpwstr>0</vt:lpwstr>
  </property>
</Properties>
</file>