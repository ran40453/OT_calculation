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cody/Downloads/FOR CODY/"/>
    </mc:Choice>
  </mc:AlternateContent>
  <xr:revisionPtr revIDLastSave="0" documentId="13_ncr:1_{0980E19A-E0CF-FF45-A3C1-6624CC284959}" xr6:coauthVersionLast="47" xr6:coauthVersionMax="47" xr10:uidLastSave="{00000000-0000-0000-0000-000000000000}"/>
  <bookViews>
    <workbookView xWindow="0" yWindow="660" windowWidth="30240" windowHeight="17660" firstSheet="26" activeTab="37" xr2:uid="{00000000-000D-0000-FFFF-FFFF00000000}"/>
  </bookViews>
  <sheets>
    <sheet name="2025分析表" sheetId="34" r:id="rId1"/>
    <sheet name="TP加班累計-請假總合_2025" sheetId="2" r:id="rId2"/>
    <sheet name="TP出勤12月份" sheetId="38" r:id="rId3"/>
    <sheet name="TP12月份請假" sheetId="39" r:id="rId4"/>
    <sheet name="TP12月份加班" sheetId="40" r:id="rId5"/>
    <sheet name="TP出勤1月份" sheetId="1" r:id="rId6"/>
    <sheet name="TP1月份請假" sheetId="4" r:id="rId7"/>
    <sheet name="TP1月份加班" sheetId="3" r:id="rId8"/>
    <sheet name="TP出勤2月份" sheetId="5" r:id="rId9"/>
    <sheet name="TP2月份請假" sheetId="9" r:id="rId10"/>
    <sheet name="TP2月份加班" sheetId="8" r:id="rId11"/>
    <sheet name="TP出勤3月份" sheetId="10" r:id="rId12"/>
    <sheet name="TP3月份請假" sheetId="11" r:id="rId13"/>
    <sheet name="TP3月份加班" sheetId="12" r:id="rId14"/>
    <sheet name="TP出勤4月份" sheetId="13" r:id="rId15"/>
    <sheet name="TP4月份請假" sheetId="14" r:id="rId16"/>
    <sheet name="TP4月份加班" sheetId="15" r:id="rId17"/>
    <sheet name="TP出勤5月份" sheetId="16" r:id="rId18"/>
    <sheet name="TP5月份請假" sheetId="17" r:id="rId19"/>
    <sheet name="TP5月份加班" sheetId="18" r:id="rId20"/>
    <sheet name="TP出勤6月份" sheetId="19" r:id="rId21"/>
    <sheet name="TP6月份請假" sheetId="20" r:id="rId22"/>
    <sheet name="TP6月份加班" sheetId="21" r:id="rId23"/>
    <sheet name="TP出勤7月份" sheetId="22" r:id="rId24"/>
    <sheet name="TP7月份請假" sheetId="23" r:id="rId25"/>
    <sheet name="TP7月份加班" sheetId="24" r:id="rId26"/>
    <sheet name="TP出勤8月份" sheetId="25" r:id="rId27"/>
    <sheet name="TP8月份請假" sheetId="29" r:id="rId28"/>
    <sheet name="TP8月份加班" sheetId="27" r:id="rId29"/>
    <sheet name="TP出勤9月份" sheetId="28" r:id="rId30"/>
    <sheet name="TP9月份請假" sheetId="26" r:id="rId31"/>
    <sheet name="TP9月份加班" sheetId="30" r:id="rId32"/>
    <sheet name="TP出勤10月份" sheetId="31" r:id="rId33"/>
    <sheet name="TP10月份請假" sheetId="32" r:id="rId34"/>
    <sheet name="TP10月份加班" sheetId="33" r:id="rId35"/>
    <sheet name="TP出勤11月份" sheetId="35" r:id="rId36"/>
    <sheet name="TP11月份請假" sheetId="36" r:id="rId37"/>
    <sheet name="TP11月份加班" sheetId="37" r:id="rId38"/>
    <sheet name="TP加班累計-請假總合_2024" sheetId="6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2" l="1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3" i="2"/>
  <c r="AB20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3" i="2"/>
  <c r="E18" i="6"/>
  <c r="D18" i="6"/>
  <c r="E17" i="6"/>
  <c r="D17" i="6"/>
  <c r="E15" i="6"/>
  <c r="D15" i="6"/>
  <c r="E14" i="6"/>
  <c r="D14" i="6"/>
  <c r="E12" i="6"/>
  <c r="D12" i="6"/>
  <c r="E11" i="6"/>
  <c r="D11" i="6"/>
  <c r="E10" i="6"/>
  <c r="D10" i="6"/>
  <c r="E9" i="6"/>
  <c r="D9" i="6"/>
  <c r="E8" i="6"/>
  <c r="D8" i="6"/>
  <c r="E6" i="6"/>
  <c r="D6" i="6"/>
  <c r="E5" i="6"/>
  <c r="D5" i="6"/>
  <c r="E4" i="6"/>
  <c r="D4" i="6"/>
  <c r="E3" i="6"/>
  <c r="D3" i="6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C6" i="37"/>
  <c r="C5" i="37"/>
  <c r="C4" i="37"/>
  <c r="C3" i="37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0" i="40"/>
  <c r="C19" i="40"/>
  <c r="C18" i="40"/>
  <c r="C17" i="40"/>
  <c r="C16" i="40"/>
  <c r="N16" i="2" s="1"/>
  <c r="O16" i="2" s="1"/>
  <c r="C15" i="40"/>
  <c r="C14" i="40"/>
  <c r="C13" i="40"/>
  <c r="N13" i="2" s="1"/>
  <c r="O13" i="2" s="1"/>
  <c r="C12" i="40"/>
  <c r="C11" i="40"/>
  <c r="C10" i="40"/>
  <c r="C9" i="40"/>
  <c r="C8" i="40"/>
  <c r="C7" i="40"/>
  <c r="N7" i="2" s="1"/>
  <c r="O7" i="2" s="1"/>
  <c r="C6" i="40"/>
  <c r="C5" i="40"/>
  <c r="C4" i="40"/>
  <c r="C3" i="40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X20" i="2"/>
  <c r="V20" i="2"/>
  <c r="S20" i="2"/>
  <c r="R20" i="2"/>
  <c r="O20" i="2"/>
  <c r="N20" i="2"/>
  <c r="M20" i="2"/>
  <c r="L20" i="2"/>
  <c r="K20" i="2"/>
  <c r="J20" i="2"/>
  <c r="I20" i="2"/>
  <c r="H20" i="2"/>
  <c r="G20" i="2"/>
  <c r="F20" i="2"/>
  <c r="E20" i="2"/>
  <c r="X19" i="2"/>
  <c r="V19" i="2"/>
  <c r="S19" i="2"/>
  <c r="R19" i="2"/>
  <c r="Q19" i="2"/>
  <c r="O19" i="2"/>
  <c r="N19" i="2"/>
  <c r="M19" i="2"/>
  <c r="L19" i="2"/>
  <c r="K19" i="2"/>
  <c r="J19" i="2"/>
  <c r="I19" i="2"/>
  <c r="H19" i="2"/>
  <c r="G19" i="2"/>
  <c r="F19" i="2"/>
  <c r="E19" i="2"/>
  <c r="X18" i="2"/>
  <c r="V18" i="2"/>
  <c r="S18" i="2"/>
  <c r="R18" i="2"/>
  <c r="Q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X17" i="2"/>
  <c r="V17" i="2"/>
  <c r="S17" i="2"/>
  <c r="R17" i="2"/>
  <c r="Q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X16" i="2"/>
  <c r="V16" i="2"/>
  <c r="S16" i="2"/>
  <c r="M16" i="2"/>
  <c r="L16" i="2"/>
  <c r="K16" i="2"/>
  <c r="J16" i="2"/>
  <c r="I16" i="2"/>
  <c r="H16" i="2"/>
  <c r="G16" i="2"/>
  <c r="F16" i="2"/>
  <c r="E16" i="2"/>
  <c r="D16" i="2"/>
  <c r="C16" i="2"/>
  <c r="X15" i="2"/>
  <c r="V15" i="2"/>
  <c r="S15" i="2"/>
  <c r="R15" i="2"/>
  <c r="Q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X14" i="2"/>
  <c r="V14" i="2"/>
  <c r="S14" i="2"/>
  <c r="R14" i="2"/>
  <c r="Q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X13" i="2"/>
  <c r="V13" i="2"/>
  <c r="S13" i="2"/>
  <c r="M13" i="2"/>
  <c r="L13" i="2"/>
  <c r="K13" i="2"/>
  <c r="J13" i="2"/>
  <c r="I13" i="2"/>
  <c r="H13" i="2"/>
  <c r="G13" i="2"/>
  <c r="F13" i="2"/>
  <c r="E13" i="2"/>
  <c r="D13" i="2"/>
  <c r="C13" i="2"/>
  <c r="X12" i="2"/>
  <c r="V12" i="2"/>
  <c r="S12" i="2"/>
  <c r="R12" i="2"/>
  <c r="Q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X11" i="2"/>
  <c r="V11" i="2"/>
  <c r="S11" i="2"/>
  <c r="R11" i="2"/>
  <c r="Q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X10" i="2"/>
  <c r="V10" i="2"/>
  <c r="S10" i="2"/>
  <c r="R10" i="2"/>
  <c r="Q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X9" i="2"/>
  <c r="V9" i="2"/>
  <c r="S9" i="2"/>
  <c r="R9" i="2"/>
  <c r="Q9" i="2"/>
  <c r="O9" i="2"/>
  <c r="N9" i="2"/>
  <c r="M9" i="2"/>
  <c r="L9" i="2"/>
  <c r="K9" i="2"/>
  <c r="J9" i="2"/>
  <c r="I9" i="2"/>
  <c r="H9" i="2"/>
  <c r="G9" i="2"/>
  <c r="F9" i="2"/>
  <c r="E9" i="2"/>
  <c r="D9" i="2"/>
  <c r="C9" i="2"/>
  <c r="X8" i="2"/>
  <c r="V8" i="2"/>
  <c r="S8" i="2"/>
  <c r="R8" i="2"/>
  <c r="Q8" i="2"/>
  <c r="O8" i="2"/>
  <c r="N8" i="2"/>
  <c r="M8" i="2"/>
  <c r="L8" i="2"/>
  <c r="K8" i="2"/>
  <c r="J8" i="2"/>
  <c r="I8" i="2"/>
  <c r="H8" i="2"/>
  <c r="G8" i="2"/>
  <c r="F8" i="2"/>
  <c r="E8" i="2"/>
  <c r="D8" i="2"/>
  <c r="C8" i="2"/>
  <c r="X7" i="2"/>
  <c r="V7" i="2"/>
  <c r="S7" i="2"/>
  <c r="M7" i="2"/>
  <c r="L7" i="2"/>
  <c r="K7" i="2"/>
  <c r="J7" i="2"/>
  <c r="I7" i="2"/>
  <c r="H7" i="2"/>
  <c r="G7" i="2"/>
  <c r="F7" i="2"/>
  <c r="E7" i="2"/>
  <c r="D7" i="2"/>
  <c r="C7" i="2"/>
  <c r="X6" i="2"/>
  <c r="V6" i="2"/>
  <c r="S6" i="2"/>
  <c r="R6" i="2"/>
  <c r="Q6" i="2"/>
  <c r="O6" i="2"/>
  <c r="N6" i="2"/>
  <c r="M6" i="2"/>
  <c r="L6" i="2"/>
  <c r="K6" i="2"/>
  <c r="J6" i="2"/>
  <c r="I6" i="2"/>
  <c r="H6" i="2"/>
  <c r="G6" i="2"/>
  <c r="F6" i="2"/>
  <c r="E6" i="2"/>
  <c r="D6" i="2"/>
  <c r="C6" i="2"/>
  <c r="X5" i="2"/>
  <c r="V5" i="2"/>
  <c r="S5" i="2"/>
  <c r="R5" i="2"/>
  <c r="Q5" i="2"/>
  <c r="O5" i="2"/>
  <c r="N5" i="2"/>
  <c r="M5" i="2"/>
  <c r="L5" i="2"/>
  <c r="K5" i="2"/>
  <c r="J5" i="2"/>
  <c r="I5" i="2"/>
  <c r="H5" i="2"/>
  <c r="G5" i="2"/>
  <c r="F5" i="2"/>
  <c r="E5" i="2"/>
  <c r="D5" i="2"/>
  <c r="C5" i="2"/>
  <c r="X4" i="2"/>
  <c r="V4" i="2"/>
  <c r="S4" i="2"/>
  <c r="R4" i="2"/>
  <c r="Q4" i="2"/>
  <c r="O4" i="2"/>
  <c r="N4" i="2"/>
  <c r="M4" i="2"/>
  <c r="L4" i="2"/>
  <c r="K4" i="2"/>
  <c r="J4" i="2"/>
  <c r="I4" i="2"/>
  <c r="H4" i="2"/>
  <c r="G4" i="2"/>
  <c r="F4" i="2"/>
  <c r="E4" i="2"/>
  <c r="D4" i="2"/>
  <c r="C4" i="2"/>
  <c r="X3" i="2"/>
  <c r="V3" i="2"/>
  <c r="S3" i="2"/>
  <c r="R3" i="2"/>
  <c r="Q3" i="2"/>
  <c r="O3" i="2"/>
  <c r="N3" i="2"/>
  <c r="M3" i="2"/>
  <c r="L3" i="2"/>
  <c r="K3" i="2"/>
  <c r="J3" i="2"/>
  <c r="I3" i="2"/>
  <c r="H3" i="2"/>
  <c r="G3" i="2"/>
  <c r="F3" i="2"/>
  <c r="E3" i="2"/>
  <c r="D3" i="2"/>
  <c r="C3" i="2"/>
  <c r="Q57" i="34"/>
  <c r="P57" i="34"/>
  <c r="M57" i="34"/>
  <c r="L57" i="34"/>
  <c r="K57" i="34"/>
  <c r="J57" i="34"/>
  <c r="I57" i="34"/>
  <c r="H57" i="34"/>
  <c r="G57" i="34"/>
  <c r="F57" i="34"/>
  <c r="E57" i="34"/>
  <c r="D57" i="34"/>
  <c r="C57" i="34"/>
  <c r="Q56" i="34"/>
  <c r="P56" i="34"/>
  <c r="M56" i="34"/>
  <c r="L56" i="34"/>
  <c r="K56" i="34"/>
  <c r="J56" i="34"/>
  <c r="I56" i="34"/>
  <c r="H56" i="34"/>
  <c r="G56" i="34"/>
  <c r="F56" i="34"/>
  <c r="E56" i="34"/>
  <c r="D56" i="34"/>
  <c r="C56" i="34"/>
  <c r="P55" i="34"/>
  <c r="M55" i="34"/>
  <c r="L55" i="34"/>
  <c r="K55" i="34"/>
  <c r="J55" i="34"/>
  <c r="I55" i="34"/>
  <c r="H55" i="34"/>
  <c r="G55" i="34"/>
  <c r="F55" i="34"/>
  <c r="E55" i="34"/>
  <c r="D55" i="34"/>
  <c r="Q54" i="34"/>
  <c r="P54" i="34"/>
  <c r="M54" i="34"/>
  <c r="L54" i="34"/>
  <c r="K54" i="34"/>
  <c r="J54" i="34"/>
  <c r="I54" i="34"/>
  <c r="H54" i="34"/>
  <c r="G54" i="34"/>
  <c r="F54" i="34"/>
  <c r="E54" i="34"/>
  <c r="D54" i="34"/>
  <c r="C54" i="34"/>
  <c r="Q53" i="34"/>
  <c r="P53" i="34"/>
  <c r="M53" i="34"/>
  <c r="L53" i="34"/>
  <c r="K53" i="34"/>
  <c r="J53" i="34"/>
  <c r="I53" i="34"/>
  <c r="H53" i="34"/>
  <c r="G53" i="34"/>
  <c r="F53" i="34"/>
  <c r="E53" i="34"/>
  <c r="D53" i="34"/>
  <c r="C53" i="34"/>
  <c r="P52" i="34"/>
  <c r="M52" i="34"/>
  <c r="L52" i="34"/>
  <c r="K52" i="34"/>
  <c r="J52" i="34"/>
  <c r="I52" i="34"/>
  <c r="H52" i="34"/>
  <c r="G52" i="34"/>
  <c r="F52" i="34"/>
  <c r="E52" i="34"/>
  <c r="D52" i="34"/>
  <c r="Q51" i="34"/>
  <c r="P51" i="34"/>
  <c r="M51" i="34"/>
  <c r="L51" i="34"/>
  <c r="K51" i="34"/>
  <c r="J51" i="34"/>
  <c r="I51" i="34"/>
  <c r="H51" i="34"/>
  <c r="G51" i="34"/>
  <c r="F51" i="34"/>
  <c r="E51" i="34"/>
  <c r="D51" i="34"/>
  <c r="C51" i="34"/>
  <c r="Q50" i="34"/>
  <c r="P50" i="34"/>
  <c r="M50" i="34"/>
  <c r="L50" i="34"/>
  <c r="K50" i="34"/>
  <c r="J50" i="34"/>
  <c r="I50" i="34"/>
  <c r="H50" i="34"/>
  <c r="G50" i="34"/>
  <c r="F50" i="34"/>
  <c r="E50" i="34"/>
  <c r="D50" i="34"/>
  <c r="C50" i="34"/>
  <c r="Q49" i="34"/>
  <c r="P49" i="34"/>
  <c r="M49" i="34"/>
  <c r="L49" i="34"/>
  <c r="K49" i="34"/>
  <c r="J49" i="34"/>
  <c r="I49" i="34"/>
  <c r="H49" i="34"/>
  <c r="G49" i="34"/>
  <c r="F49" i="34"/>
  <c r="E49" i="34"/>
  <c r="D49" i="34"/>
  <c r="C49" i="34"/>
  <c r="Q48" i="34"/>
  <c r="P48" i="34"/>
  <c r="M48" i="34"/>
  <c r="L48" i="34"/>
  <c r="K48" i="34"/>
  <c r="J48" i="34"/>
  <c r="I48" i="34"/>
  <c r="H48" i="34"/>
  <c r="G48" i="34"/>
  <c r="F48" i="34"/>
  <c r="E48" i="34"/>
  <c r="D48" i="34"/>
  <c r="C48" i="34"/>
  <c r="Q47" i="34"/>
  <c r="P47" i="34"/>
  <c r="M47" i="34"/>
  <c r="L47" i="34"/>
  <c r="K47" i="34"/>
  <c r="J47" i="34"/>
  <c r="I47" i="34"/>
  <c r="H47" i="34"/>
  <c r="G47" i="34"/>
  <c r="F47" i="34"/>
  <c r="E47" i="34"/>
  <c r="D47" i="34"/>
  <c r="C47" i="34"/>
  <c r="P46" i="34"/>
  <c r="M46" i="34"/>
  <c r="L46" i="34"/>
  <c r="K46" i="34"/>
  <c r="J46" i="34"/>
  <c r="I46" i="34"/>
  <c r="H46" i="34"/>
  <c r="G46" i="34"/>
  <c r="F46" i="34"/>
  <c r="E46" i="34"/>
  <c r="D46" i="34"/>
  <c r="Q45" i="34"/>
  <c r="P45" i="34"/>
  <c r="M45" i="34"/>
  <c r="L45" i="34"/>
  <c r="K45" i="34"/>
  <c r="J45" i="34"/>
  <c r="I45" i="34"/>
  <c r="H45" i="34"/>
  <c r="G45" i="34"/>
  <c r="F45" i="34"/>
  <c r="E45" i="34"/>
  <c r="D45" i="34"/>
  <c r="C45" i="34"/>
  <c r="Q44" i="34"/>
  <c r="P44" i="34"/>
  <c r="M44" i="34"/>
  <c r="L44" i="34"/>
  <c r="K44" i="34"/>
  <c r="J44" i="34"/>
  <c r="I44" i="34"/>
  <c r="H44" i="34"/>
  <c r="G44" i="34"/>
  <c r="F44" i="34"/>
  <c r="E44" i="34"/>
  <c r="D44" i="34"/>
  <c r="C44" i="34"/>
  <c r="Q43" i="34"/>
  <c r="P43" i="34"/>
  <c r="M43" i="34"/>
  <c r="L43" i="34"/>
  <c r="K43" i="34"/>
  <c r="J43" i="34"/>
  <c r="I43" i="34"/>
  <c r="H43" i="34"/>
  <c r="G43" i="34"/>
  <c r="F43" i="34"/>
  <c r="E43" i="34"/>
  <c r="D43" i="34"/>
  <c r="C43" i="34"/>
  <c r="Q42" i="34"/>
  <c r="P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C42" i="34"/>
  <c r="Q38" i="34"/>
  <c r="P38" i="34"/>
  <c r="M38" i="34"/>
  <c r="L38" i="34"/>
  <c r="K38" i="34"/>
  <c r="J38" i="34"/>
  <c r="I38" i="34"/>
  <c r="H38" i="34"/>
  <c r="G38" i="34"/>
  <c r="F38" i="34"/>
  <c r="E38" i="34"/>
  <c r="D38" i="34"/>
  <c r="C38" i="34"/>
  <c r="Q37" i="34"/>
  <c r="P37" i="34"/>
  <c r="M37" i="34"/>
  <c r="L37" i="34"/>
  <c r="K37" i="34"/>
  <c r="J37" i="34"/>
  <c r="I37" i="34"/>
  <c r="H37" i="34"/>
  <c r="G37" i="34"/>
  <c r="F37" i="34"/>
  <c r="E37" i="34"/>
  <c r="D37" i="34"/>
  <c r="C37" i="34"/>
  <c r="P36" i="34"/>
  <c r="M36" i="34"/>
  <c r="L36" i="34"/>
  <c r="K36" i="34"/>
  <c r="J36" i="34"/>
  <c r="I36" i="34"/>
  <c r="H36" i="34"/>
  <c r="G36" i="34"/>
  <c r="F36" i="34"/>
  <c r="E36" i="34"/>
  <c r="D36" i="34"/>
  <c r="C36" i="34"/>
  <c r="Q35" i="34"/>
  <c r="P35" i="34"/>
  <c r="M35" i="34"/>
  <c r="L35" i="34"/>
  <c r="K35" i="34"/>
  <c r="J35" i="34"/>
  <c r="I35" i="34"/>
  <c r="H35" i="34"/>
  <c r="G35" i="34"/>
  <c r="F35" i="34"/>
  <c r="E35" i="34"/>
  <c r="D35" i="34"/>
  <c r="C35" i="34"/>
  <c r="Q34" i="34"/>
  <c r="P34" i="34"/>
  <c r="M34" i="34"/>
  <c r="L34" i="34"/>
  <c r="K34" i="34"/>
  <c r="J34" i="34"/>
  <c r="I34" i="34"/>
  <c r="H34" i="34"/>
  <c r="G34" i="34"/>
  <c r="F34" i="34"/>
  <c r="E34" i="34"/>
  <c r="D34" i="34"/>
  <c r="C34" i="34"/>
  <c r="P33" i="34"/>
  <c r="M33" i="34"/>
  <c r="L33" i="34"/>
  <c r="K33" i="34"/>
  <c r="J33" i="34"/>
  <c r="I33" i="34"/>
  <c r="H33" i="34"/>
  <c r="G33" i="34"/>
  <c r="F33" i="34"/>
  <c r="E33" i="34"/>
  <c r="D33" i="34"/>
  <c r="C33" i="34"/>
  <c r="Q32" i="34"/>
  <c r="P32" i="34"/>
  <c r="M32" i="34"/>
  <c r="L32" i="34"/>
  <c r="K32" i="34"/>
  <c r="J32" i="34"/>
  <c r="I32" i="34"/>
  <c r="H32" i="34"/>
  <c r="G32" i="34"/>
  <c r="F32" i="34"/>
  <c r="E32" i="34"/>
  <c r="D32" i="34"/>
  <c r="C32" i="34"/>
  <c r="Q31" i="34"/>
  <c r="P31" i="34"/>
  <c r="M31" i="34"/>
  <c r="L31" i="34"/>
  <c r="K31" i="34"/>
  <c r="J31" i="34"/>
  <c r="I31" i="34"/>
  <c r="H31" i="34"/>
  <c r="G31" i="34"/>
  <c r="F31" i="34"/>
  <c r="E31" i="34"/>
  <c r="D31" i="34"/>
  <c r="C31" i="34"/>
  <c r="Q30" i="34"/>
  <c r="P30" i="34"/>
  <c r="M30" i="34"/>
  <c r="L30" i="34"/>
  <c r="K30" i="34"/>
  <c r="J30" i="34"/>
  <c r="I30" i="34"/>
  <c r="H30" i="34"/>
  <c r="G30" i="34"/>
  <c r="F30" i="34"/>
  <c r="E30" i="34"/>
  <c r="D30" i="34"/>
  <c r="C30" i="34"/>
  <c r="Q29" i="34"/>
  <c r="P29" i="34"/>
  <c r="M29" i="34"/>
  <c r="L29" i="34"/>
  <c r="K29" i="34"/>
  <c r="J29" i="34"/>
  <c r="I29" i="34"/>
  <c r="H29" i="34"/>
  <c r="G29" i="34"/>
  <c r="F29" i="34"/>
  <c r="E29" i="34"/>
  <c r="D29" i="34"/>
  <c r="C29" i="34"/>
  <c r="Q28" i="34"/>
  <c r="P28" i="34"/>
  <c r="M28" i="34"/>
  <c r="L28" i="34"/>
  <c r="K28" i="34"/>
  <c r="J28" i="34"/>
  <c r="I28" i="34"/>
  <c r="H28" i="34"/>
  <c r="G28" i="34"/>
  <c r="F28" i="34"/>
  <c r="E28" i="34"/>
  <c r="D28" i="34"/>
  <c r="C28" i="34"/>
  <c r="Q27" i="34"/>
  <c r="Q46" i="34" s="1"/>
  <c r="C46" i="34" s="1"/>
  <c r="P27" i="34"/>
  <c r="M27" i="34"/>
  <c r="L27" i="34"/>
  <c r="K27" i="34"/>
  <c r="J27" i="34"/>
  <c r="I27" i="34"/>
  <c r="H27" i="34"/>
  <c r="G27" i="34"/>
  <c r="F27" i="34"/>
  <c r="E27" i="34"/>
  <c r="D27" i="34"/>
  <c r="C27" i="34"/>
  <c r="Q26" i="34"/>
  <c r="P26" i="34"/>
  <c r="M26" i="34"/>
  <c r="L26" i="34"/>
  <c r="K26" i="34"/>
  <c r="J26" i="34"/>
  <c r="I26" i="34"/>
  <c r="H26" i="34"/>
  <c r="G26" i="34"/>
  <c r="F26" i="34"/>
  <c r="E26" i="34"/>
  <c r="D26" i="34"/>
  <c r="C26" i="34"/>
  <c r="Q25" i="34"/>
  <c r="P25" i="34"/>
  <c r="M25" i="34"/>
  <c r="L25" i="34"/>
  <c r="K25" i="34"/>
  <c r="J25" i="34"/>
  <c r="I25" i="34"/>
  <c r="H25" i="34"/>
  <c r="G25" i="34"/>
  <c r="F25" i="34"/>
  <c r="E25" i="34"/>
  <c r="D25" i="34"/>
  <c r="C25" i="34"/>
  <c r="Q24" i="34"/>
  <c r="P24" i="34"/>
  <c r="M24" i="34"/>
  <c r="L24" i="34"/>
  <c r="K24" i="34"/>
  <c r="J24" i="34"/>
  <c r="I24" i="34"/>
  <c r="H24" i="34"/>
  <c r="G24" i="34"/>
  <c r="F24" i="34"/>
  <c r="E24" i="34"/>
  <c r="D24" i="34"/>
  <c r="C24" i="34"/>
  <c r="Q23" i="34"/>
  <c r="P23" i="34"/>
  <c r="M23" i="34"/>
  <c r="L23" i="34"/>
  <c r="K23" i="34"/>
  <c r="J23" i="34"/>
  <c r="I23" i="34"/>
  <c r="H23" i="34"/>
  <c r="G23" i="34"/>
  <c r="F23" i="34"/>
  <c r="E23" i="34"/>
  <c r="D23" i="34"/>
  <c r="C23" i="34"/>
  <c r="Q19" i="34"/>
  <c r="P19" i="34"/>
  <c r="M19" i="34"/>
  <c r="L19" i="34"/>
  <c r="K19" i="34"/>
  <c r="J19" i="34"/>
  <c r="I19" i="34"/>
  <c r="H19" i="34"/>
  <c r="G19" i="34"/>
  <c r="F19" i="34"/>
  <c r="E19" i="34"/>
  <c r="D19" i="34"/>
  <c r="C19" i="34"/>
  <c r="Q18" i="34"/>
  <c r="P18" i="34"/>
  <c r="M18" i="34"/>
  <c r="L18" i="34"/>
  <c r="K18" i="34"/>
  <c r="J18" i="34"/>
  <c r="I18" i="34"/>
  <c r="H18" i="34"/>
  <c r="G18" i="34"/>
  <c r="F18" i="34"/>
  <c r="E18" i="34"/>
  <c r="D18" i="34"/>
  <c r="C18" i="34"/>
  <c r="Q17" i="34"/>
  <c r="P17" i="34"/>
  <c r="M17" i="34"/>
  <c r="L17" i="34"/>
  <c r="K17" i="34"/>
  <c r="J17" i="34"/>
  <c r="I17" i="34"/>
  <c r="H17" i="34"/>
  <c r="G17" i="34"/>
  <c r="F17" i="34"/>
  <c r="E17" i="34"/>
  <c r="D17" i="34"/>
  <c r="C17" i="34"/>
  <c r="Q16" i="34"/>
  <c r="P16" i="34"/>
  <c r="M16" i="34"/>
  <c r="L16" i="34"/>
  <c r="K16" i="34"/>
  <c r="J16" i="34"/>
  <c r="I16" i="34"/>
  <c r="H16" i="34"/>
  <c r="G16" i="34"/>
  <c r="F16" i="34"/>
  <c r="E16" i="34"/>
  <c r="D16" i="34"/>
  <c r="C16" i="34"/>
  <c r="Q15" i="34"/>
  <c r="P15" i="34"/>
  <c r="M15" i="34"/>
  <c r="L15" i="34"/>
  <c r="K15" i="34"/>
  <c r="J15" i="34"/>
  <c r="I15" i="34"/>
  <c r="H15" i="34"/>
  <c r="G15" i="34"/>
  <c r="F15" i="34"/>
  <c r="E15" i="34"/>
  <c r="D15" i="34"/>
  <c r="C15" i="34"/>
  <c r="Q14" i="34"/>
  <c r="P14" i="34"/>
  <c r="M14" i="34"/>
  <c r="L14" i="34"/>
  <c r="K14" i="34"/>
  <c r="J14" i="34"/>
  <c r="I14" i="34"/>
  <c r="H14" i="34"/>
  <c r="G14" i="34"/>
  <c r="F14" i="34"/>
  <c r="E14" i="34"/>
  <c r="D14" i="34"/>
  <c r="C14" i="34"/>
  <c r="Q13" i="34"/>
  <c r="P13" i="34"/>
  <c r="M13" i="34"/>
  <c r="L13" i="34"/>
  <c r="K13" i="34"/>
  <c r="J13" i="34"/>
  <c r="I13" i="34"/>
  <c r="H13" i="34"/>
  <c r="G13" i="34"/>
  <c r="F13" i="34"/>
  <c r="E13" i="34"/>
  <c r="D13" i="34"/>
  <c r="C13" i="34"/>
  <c r="Q12" i="34"/>
  <c r="P12" i="34"/>
  <c r="M12" i="34"/>
  <c r="L12" i="34"/>
  <c r="K12" i="34"/>
  <c r="J12" i="34"/>
  <c r="I12" i="34"/>
  <c r="H12" i="34"/>
  <c r="G12" i="34"/>
  <c r="F12" i="34"/>
  <c r="E12" i="34"/>
  <c r="D12" i="34"/>
  <c r="C12" i="34"/>
  <c r="Q11" i="34"/>
  <c r="P11" i="34"/>
  <c r="M11" i="34"/>
  <c r="L11" i="34"/>
  <c r="K11" i="34"/>
  <c r="J11" i="34"/>
  <c r="I11" i="34"/>
  <c r="H11" i="34"/>
  <c r="G11" i="34"/>
  <c r="F11" i="34"/>
  <c r="E11" i="34"/>
  <c r="D11" i="34"/>
  <c r="C11" i="34"/>
  <c r="Q10" i="34"/>
  <c r="P10" i="34"/>
  <c r="M10" i="34"/>
  <c r="L10" i="34"/>
  <c r="K10" i="34"/>
  <c r="J10" i="34"/>
  <c r="I10" i="34"/>
  <c r="H10" i="34"/>
  <c r="G10" i="34"/>
  <c r="F10" i="34"/>
  <c r="E10" i="34"/>
  <c r="D10" i="34"/>
  <c r="C10" i="34"/>
  <c r="Q9" i="34"/>
  <c r="P9" i="34"/>
  <c r="M9" i="34"/>
  <c r="L9" i="34"/>
  <c r="K9" i="34"/>
  <c r="J9" i="34"/>
  <c r="I9" i="34"/>
  <c r="H9" i="34"/>
  <c r="G9" i="34"/>
  <c r="F9" i="34"/>
  <c r="E9" i="34"/>
  <c r="D9" i="34"/>
  <c r="C9" i="34"/>
  <c r="Q8" i="34"/>
  <c r="P8" i="34"/>
  <c r="M8" i="34"/>
  <c r="L8" i="34"/>
  <c r="K8" i="34"/>
  <c r="J8" i="34"/>
  <c r="I8" i="34"/>
  <c r="H8" i="34"/>
  <c r="G8" i="34"/>
  <c r="F8" i="34"/>
  <c r="E8" i="34"/>
  <c r="D8" i="34"/>
  <c r="C8" i="34"/>
  <c r="Q7" i="34"/>
  <c r="P7" i="34"/>
  <c r="M7" i="34"/>
  <c r="L7" i="34"/>
  <c r="K7" i="34"/>
  <c r="J7" i="34"/>
  <c r="I7" i="34"/>
  <c r="H7" i="34"/>
  <c r="G7" i="34"/>
  <c r="F7" i="34"/>
  <c r="E7" i="34"/>
  <c r="D7" i="34"/>
  <c r="C7" i="34"/>
  <c r="Q6" i="34"/>
  <c r="P6" i="34"/>
  <c r="M6" i="34"/>
  <c r="L6" i="34"/>
  <c r="K6" i="34"/>
  <c r="J6" i="34"/>
  <c r="I6" i="34"/>
  <c r="H6" i="34"/>
  <c r="G6" i="34"/>
  <c r="F6" i="34"/>
  <c r="E6" i="34"/>
  <c r="D6" i="34"/>
  <c r="C6" i="34"/>
  <c r="Q5" i="34"/>
  <c r="P5" i="34"/>
  <c r="M5" i="34"/>
  <c r="L5" i="34"/>
  <c r="K5" i="34"/>
  <c r="J5" i="34"/>
  <c r="I5" i="34"/>
  <c r="H5" i="34"/>
  <c r="G5" i="34"/>
  <c r="F5" i="34"/>
  <c r="E5" i="34"/>
  <c r="D5" i="34"/>
  <c r="C5" i="34"/>
  <c r="Q4" i="34"/>
  <c r="P4" i="34"/>
  <c r="M4" i="34"/>
  <c r="L4" i="34"/>
  <c r="K4" i="34"/>
  <c r="J4" i="34"/>
  <c r="I4" i="34"/>
  <c r="H4" i="34"/>
  <c r="G4" i="34"/>
  <c r="F4" i="34"/>
  <c r="E4" i="34"/>
  <c r="D4" i="34"/>
  <c r="C4" i="34"/>
  <c r="Q3" i="34"/>
  <c r="P3" i="34"/>
  <c r="M3" i="34"/>
  <c r="L3" i="34"/>
  <c r="K3" i="34"/>
  <c r="J3" i="34"/>
  <c r="I3" i="34"/>
  <c r="H3" i="34"/>
  <c r="G3" i="34"/>
  <c r="F3" i="34"/>
  <c r="E3" i="34"/>
  <c r="D3" i="34"/>
  <c r="C3" i="34"/>
  <c r="Q16" i="2" l="1"/>
  <c r="D16" i="6"/>
  <c r="E16" i="6" s="1"/>
  <c r="R16" i="2"/>
  <c r="Q36" i="34"/>
  <c r="Q55" i="34" s="1"/>
  <c r="C55" i="34" s="1"/>
  <c r="Q33" i="34"/>
  <c r="Q52" i="34" s="1"/>
  <c r="C52" i="34" s="1"/>
  <c r="Q7" i="2"/>
  <c r="D7" i="6"/>
  <c r="E7" i="6" s="1"/>
  <c r="Q13" i="2"/>
  <c r="R13" i="2"/>
  <c r="D13" i="6"/>
  <c r="E13" i="6" s="1"/>
</calcChain>
</file>

<file path=xl/sharedStrings.xml><?xml version="1.0" encoding="utf-8"?>
<sst xmlns="http://schemas.openxmlformats.org/spreadsheetml/2006/main" count="5363" uniqueCount="178">
  <si>
    <t>TP出勤</t>
    <phoneticPr fontId="1" type="noConversion"/>
  </si>
  <si>
    <t>NO.</t>
    <phoneticPr fontId="1" type="noConversion"/>
  </si>
  <si>
    <t>姓名</t>
    <phoneticPr fontId="1" type="noConversion"/>
  </si>
  <si>
    <t>郭先弘</t>
  </si>
  <si>
    <t>陳淑芬</t>
  </si>
  <si>
    <t>林世彬</t>
  </si>
  <si>
    <t>何彥璋</t>
  </si>
  <si>
    <t>吳嘉銘</t>
  </si>
  <si>
    <t>林詠書</t>
  </si>
  <si>
    <t>謝秉宏</t>
  </si>
  <si>
    <t>林建宏</t>
  </si>
  <si>
    <t>蘇景郁</t>
  </si>
  <si>
    <t>潘其昌</t>
  </si>
  <si>
    <t>陳俊男</t>
  </si>
  <si>
    <t>林政宏</t>
  </si>
  <si>
    <t>陸長遠</t>
  </si>
  <si>
    <t>劉益豪</t>
  </si>
  <si>
    <t>TP請假</t>
    <phoneticPr fontId="1" type="noConversion"/>
  </si>
  <si>
    <t>`</t>
    <phoneticPr fontId="1" type="noConversion"/>
  </si>
  <si>
    <t>TP加班</t>
    <phoneticPr fontId="1" type="noConversion"/>
  </si>
  <si>
    <t>TP(加班-請假)</t>
    <phoneticPr fontId="1" type="noConversion"/>
  </si>
  <si>
    <t>1.紅字代表請假單位大於加班單位</t>
    <phoneticPr fontId="1" type="noConversion"/>
  </si>
  <si>
    <t>◎</t>
    <phoneticPr fontId="1" type="noConversion"/>
  </si>
  <si>
    <t>正常</t>
    <phoneticPr fontId="1" type="noConversion"/>
  </si>
  <si>
    <t>補休</t>
    <phoneticPr fontId="1" type="noConversion"/>
  </si>
  <si>
    <t>✓</t>
    <phoneticPr fontId="1" type="noConversion"/>
  </si>
  <si>
    <t>2024總累計單位
(0.5小時/單位)</t>
    <phoneticPr fontId="1" type="noConversion"/>
  </si>
  <si>
    <t>一月累計
(0.5小時/單位)</t>
    <phoneticPr fontId="1" type="noConversion"/>
  </si>
  <si>
    <t>一月累計
(0.5小時/單位)</t>
    <phoneticPr fontId="1" type="noConversion"/>
  </si>
  <si>
    <t>遲到</t>
    <phoneticPr fontId="1" type="noConversion"/>
  </si>
  <si>
    <t>△</t>
    <phoneticPr fontId="1" type="noConversion"/>
  </si>
  <si>
    <t>補休</t>
    <phoneticPr fontId="1" type="noConversion"/>
  </si>
  <si>
    <t>二月累計
(0.5小時/單位)</t>
    <phoneticPr fontId="1" type="noConversion"/>
  </si>
  <si>
    <t>二月累計
(0.5小時/單位)</t>
    <phoneticPr fontId="1" type="noConversion"/>
  </si>
  <si>
    <t>三月累計
(0.5小時/單位)</t>
    <phoneticPr fontId="1" type="noConversion"/>
  </si>
  <si>
    <t>四月累計
(0.5小時/單位)</t>
    <phoneticPr fontId="1" type="noConversion"/>
  </si>
  <si>
    <t>四月累計
(0.5小時/單位)</t>
    <phoneticPr fontId="1" type="noConversion"/>
  </si>
  <si>
    <t>四月累計單位
(0.5小時/單位)</t>
    <phoneticPr fontId="1" type="noConversion"/>
  </si>
  <si>
    <t>5月累計
(0.5小時/單位)</t>
    <phoneticPr fontId="1" type="noConversion"/>
  </si>
  <si>
    <t>五月累計單位
(0.5小時/單位)</t>
    <phoneticPr fontId="1" type="noConversion"/>
  </si>
  <si>
    <t>五月累計
(0.5小時/單位)</t>
    <phoneticPr fontId="1" type="noConversion"/>
  </si>
  <si>
    <t xml:space="preserve">4.第2項之天數如因任務/出差等因素未休完則由主管依個案處理。 </t>
    <phoneticPr fontId="1" type="noConversion"/>
  </si>
  <si>
    <t>7.此補休辦法(填出勤確認單)請大家一起維護，被人資發現告發後此單位時數一但被歸零則無法補發。</t>
    <phoneticPr fontId="1" type="noConversion"/>
  </si>
  <si>
    <t xml:space="preserve">1.當年度6月後累計天數超過96單位(6天)之人員，定期通知提醒該員按時休假。 </t>
    <phoneticPr fontId="1" type="noConversion"/>
  </si>
  <si>
    <r>
      <t>2.當年度年底(12/31)未休完之單位時數可累計至下年度前3個月使用，最高累計單位時數為</t>
    </r>
    <r>
      <rPr>
        <b/>
        <i/>
        <u/>
        <sz val="12"/>
        <color rgb="FF0070C0"/>
        <rFont val="新細明體"/>
        <family val="1"/>
        <charset val="136"/>
        <scheme val="minor"/>
      </rPr>
      <t>112單位(7天)</t>
    </r>
    <r>
      <rPr>
        <sz val="12"/>
        <color rgb="FF0070C0"/>
        <rFont val="新細明體"/>
        <family val="1"/>
        <charset val="136"/>
        <scheme val="minor"/>
      </rPr>
      <t xml:space="preserve">，超過則不採計。 </t>
    </r>
    <phoneticPr fontId="1" type="noConversion"/>
  </si>
  <si>
    <r>
      <t>3.第2項之天數未依規定休完則直接</t>
    </r>
    <r>
      <rPr>
        <b/>
        <i/>
        <u/>
        <sz val="12"/>
        <color rgb="FF0070C0"/>
        <rFont val="新細明體"/>
        <family val="1"/>
        <charset val="136"/>
        <scheme val="minor"/>
      </rPr>
      <t>歸零</t>
    </r>
    <r>
      <rPr>
        <sz val="12"/>
        <color rgb="FF0070C0"/>
        <rFont val="新細明體"/>
        <family val="1"/>
        <charset val="136"/>
        <scheme val="minor"/>
      </rPr>
      <t>計。</t>
    </r>
    <phoneticPr fontId="1" type="noConversion"/>
  </si>
  <si>
    <r>
      <t>5.提報加班時數超過</t>
    </r>
    <r>
      <rPr>
        <b/>
        <i/>
        <u/>
        <sz val="12"/>
        <color rgb="FF0070C0"/>
        <rFont val="新細明體"/>
        <family val="1"/>
        <charset val="136"/>
        <scheme val="minor"/>
      </rPr>
      <t>3單位</t>
    </r>
    <r>
      <rPr>
        <sz val="12"/>
        <color rgb="FF0070C0"/>
        <rFont val="新細明體"/>
        <family val="1"/>
        <charset val="136"/>
        <scheme val="minor"/>
      </rPr>
      <t>請填寫上加班原因(例: 3單位，XXX專案DOE)。</t>
    </r>
    <phoneticPr fontId="1" type="noConversion"/>
  </si>
  <si>
    <r>
      <t>6.請補休(填出勤確認單)最長連續時數以</t>
    </r>
    <r>
      <rPr>
        <b/>
        <i/>
        <u/>
        <sz val="12"/>
        <color rgb="FF0070C0"/>
        <rFont val="新細明體"/>
        <family val="1"/>
        <charset val="136"/>
        <scheme val="minor"/>
      </rPr>
      <t>16單位(1天)</t>
    </r>
    <r>
      <rPr>
        <sz val="12"/>
        <color rgb="FF0070C0"/>
        <rFont val="新細明體"/>
        <family val="1"/>
        <charset val="136"/>
        <scheme val="minor"/>
      </rPr>
      <t>為上限(填出勤單不要超過1天以上)。</t>
    </r>
    <phoneticPr fontId="1" type="noConversion"/>
  </si>
  <si>
    <t>6月累計
(0.5小時/單位)</t>
    <phoneticPr fontId="1" type="noConversion"/>
  </si>
  <si>
    <t>6月累計
(0.5小時/單位)</t>
    <phoneticPr fontId="1" type="noConversion"/>
  </si>
  <si>
    <t xml:space="preserve">◎ </t>
    <phoneticPr fontId="1" type="noConversion"/>
  </si>
  <si>
    <t>郭先弘</t>
    <phoneticPr fontId="1" type="noConversion"/>
  </si>
  <si>
    <t>何彥璋</t>
    <phoneticPr fontId="1" type="noConversion"/>
  </si>
  <si>
    <t>✓</t>
    <phoneticPr fontId="1" type="noConversion"/>
  </si>
  <si>
    <t>六月累計單位
(0.5小時/單位)</t>
    <phoneticPr fontId="1" type="noConversion"/>
  </si>
  <si>
    <t>七月累計單位
(0.5小時/單位)</t>
    <phoneticPr fontId="1" type="noConversion"/>
  </si>
  <si>
    <t>✓</t>
    <phoneticPr fontId="1" type="noConversion"/>
  </si>
  <si>
    <t>8月累計
(0.5小時/單位)</t>
    <phoneticPr fontId="1" type="noConversion"/>
  </si>
  <si>
    <t>7月累計
(0.5小時/單位)</t>
    <phoneticPr fontId="1" type="noConversion"/>
  </si>
  <si>
    <t>9月累計
(0.5小時/單位)</t>
    <phoneticPr fontId="1" type="noConversion"/>
  </si>
  <si>
    <t>李威漢</t>
    <phoneticPr fontId="1" type="noConversion"/>
  </si>
  <si>
    <t>✓</t>
    <phoneticPr fontId="1" type="noConversion"/>
  </si>
  <si>
    <t>請假</t>
    <phoneticPr fontId="1" type="noConversion"/>
  </si>
  <si>
    <t>9月累計
(0.5小時/單位)</t>
    <phoneticPr fontId="1" type="noConversion"/>
  </si>
  <si>
    <t>10月累計
(0.5小時/單位)</t>
    <phoneticPr fontId="1" type="noConversion"/>
  </si>
  <si>
    <t>10月累計
(0.5小時/單位)</t>
    <phoneticPr fontId="1" type="noConversion"/>
  </si>
  <si>
    <t>王挺翰</t>
    <phoneticPr fontId="1" type="noConversion"/>
  </si>
  <si>
    <t>1月累計
(0.5小時/單位)</t>
    <phoneticPr fontId="1" type="noConversion"/>
  </si>
  <si>
    <t>總累計
(0.5小時/單位)</t>
    <phoneticPr fontId="1" type="noConversion"/>
  </si>
  <si>
    <t>TP出勤-請假</t>
    <phoneticPr fontId="1" type="noConversion"/>
  </si>
  <si>
    <t>TP出勤-加班</t>
    <phoneticPr fontId="1" type="noConversion"/>
  </si>
  <si>
    <t>TP出勤-加班減請假</t>
    <phoneticPr fontId="1" type="noConversion"/>
  </si>
  <si>
    <t>2月累計
(0.5小時/單位)</t>
    <phoneticPr fontId="1" type="noConversion"/>
  </si>
  <si>
    <t>3月累計
(0.5小時/單位)</t>
    <phoneticPr fontId="1" type="noConversion"/>
  </si>
  <si>
    <t>4月累計
(0.5小時/單位)</t>
    <phoneticPr fontId="1" type="noConversion"/>
  </si>
  <si>
    <t>5月累計
(0.5小時/單位)</t>
    <phoneticPr fontId="1" type="noConversion"/>
  </si>
  <si>
    <t>8月累計
(0.5小時/單位)</t>
    <phoneticPr fontId="1" type="noConversion"/>
  </si>
  <si>
    <t>9月累計
(0.5小時/單位)</t>
    <phoneticPr fontId="1" type="noConversion"/>
  </si>
  <si>
    <t>10月累計
(0.5小時/單位)</t>
    <phoneticPr fontId="1" type="noConversion"/>
  </si>
  <si>
    <t>11月累計
(0.5小時/單位)</t>
    <phoneticPr fontId="1" type="noConversion"/>
  </si>
  <si>
    <t>12月累計
(0.5小時/單位)</t>
    <phoneticPr fontId="1" type="noConversion"/>
  </si>
  <si>
    <t>2月累計
(0.5小時/單位)</t>
    <phoneticPr fontId="1" type="noConversion"/>
  </si>
  <si>
    <t>八月累計單位
(0.5小時/單位)</t>
    <phoneticPr fontId="1" type="noConversion"/>
  </si>
  <si>
    <t>九月累計單位
(0.5小時/單位)</t>
    <phoneticPr fontId="1" type="noConversion"/>
  </si>
  <si>
    <t>十月累計單位
(0.5小時/單位)</t>
    <phoneticPr fontId="1" type="noConversion"/>
  </si>
  <si>
    <t>十一月累計單位
(0.5小時/單位)</t>
    <phoneticPr fontId="1" type="noConversion"/>
  </si>
  <si>
    <t>十二月累計單位
(0.5小時/單位)</t>
    <phoneticPr fontId="1" type="noConversion"/>
  </si>
  <si>
    <t>李又誠</t>
    <phoneticPr fontId="1" type="noConversion"/>
  </si>
  <si>
    <t>劉益豪</t>
    <phoneticPr fontId="1" type="noConversion"/>
  </si>
  <si>
    <t>2025月份請假直條圖(1~10月)</t>
    <phoneticPr fontId="1" type="noConversion"/>
  </si>
  <si>
    <t>2025月份加班直條圖(1~10月)</t>
    <phoneticPr fontId="1" type="noConversion"/>
  </si>
  <si>
    <t>2025月份加班減請假直條圖(1~10月)</t>
    <phoneticPr fontId="1" type="noConversion"/>
  </si>
  <si>
    <t>出差</t>
    <phoneticPr fontId="1" type="noConversion"/>
  </si>
  <si>
    <t>休假</t>
    <phoneticPr fontId="1" type="noConversion"/>
  </si>
  <si>
    <t>12累計
(0.5小時/單位)</t>
    <phoneticPr fontId="1" type="noConversion"/>
  </si>
  <si>
    <t>三月累計單位
(0.5小時/單位)</t>
    <phoneticPr fontId="1" type="noConversion"/>
  </si>
  <si>
    <t>二月累計單位
(0.5小時/單位)</t>
    <phoneticPr fontId="1" type="noConversion"/>
  </si>
  <si>
    <t>一月累計單位
(0.5小時/單位)</t>
    <phoneticPr fontId="1" type="noConversion"/>
  </si>
  <si>
    <t>✓</t>
  </si>
  <si>
    <t>2025總累計單位
(0.5小時/單位)</t>
    <phoneticPr fontId="1" type="noConversion"/>
  </si>
  <si>
    <r>
      <t>1.紅字代表請假單位大於加班單位
2.當年度6月後累計天數超過96單位(6天)之人員，定期通知提醒該員按時休假。 
3.當年度年底(12/31)未休完之單位時數可累計至下年度前3個月使用，最高累計單位時數為112單位(7天)，超過則不採計。 
4.第2項之天數未依規定休完則直接歸零計。
5.第2項之天數如因任務/出差等因素未休完則由主管依個案處理。
6.提報加班時數超過3單位請填寫上加班原因(例: 3單位，XXX專案DOE)。
7.請補休(填出勤確認單)最長連續時數以16單位(1天)為上限(填出勤單不要超過1天以上)。
8.此補休辦法(填出勤確認單)請大家一起維護，被人資發現告發後此單位時數一但被歸零則無法補發。
9.補休(填出勤確認單)申請規則:當月最多申請次數</t>
    </r>
    <r>
      <rPr>
        <sz val="12"/>
        <color rgb="FFFF0000"/>
        <rFont val="新細明體"/>
        <family val="1"/>
        <charset val="136"/>
        <scheme val="minor"/>
      </rPr>
      <t>4</t>
    </r>
    <r>
      <rPr>
        <sz val="12"/>
        <color theme="1"/>
        <rFont val="新細明體"/>
        <family val="2"/>
        <charset val="136"/>
        <scheme val="minor"/>
      </rPr>
      <t xml:space="preserve">或 </t>
    </r>
    <r>
      <rPr>
        <sz val="12"/>
        <color rgb="FFFF0000"/>
        <rFont val="新細明體"/>
        <family val="1"/>
        <charset val="136"/>
        <scheme val="minor"/>
      </rPr>
      <t>5</t>
    </r>
    <r>
      <rPr>
        <sz val="12"/>
        <color theme="1"/>
        <rFont val="新細明體"/>
        <family val="2"/>
        <charset val="136"/>
        <scheme val="minor"/>
      </rPr>
      <t>次(依當月有幾週為準)、當週最多申請</t>
    </r>
    <r>
      <rPr>
        <sz val="12"/>
        <color rgb="FFFF0000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次、不得</t>
    </r>
    <r>
      <rPr>
        <sz val="12"/>
        <color rgb="FFFF0000"/>
        <rFont val="新細明體"/>
        <family val="1"/>
        <charset val="136"/>
        <scheme val="minor"/>
      </rPr>
      <t>連兩天上班日(含跨週)</t>
    </r>
    <r>
      <rPr>
        <sz val="12"/>
        <rFont val="新細明體"/>
        <family val="1"/>
        <charset val="136"/>
        <scheme val="minor"/>
      </rPr>
      <t>以上</t>
    </r>
    <r>
      <rPr>
        <sz val="12"/>
        <color theme="1"/>
        <rFont val="新細明體"/>
        <family val="2"/>
        <charset val="136"/>
        <scheme val="minor"/>
      </rPr>
      <t>請補休(例:星期一</t>
    </r>
    <r>
      <rPr>
        <sz val="12"/>
        <color rgb="FFFF0000"/>
        <rFont val="新細明體"/>
        <family val="1"/>
        <charset val="136"/>
        <scheme val="minor"/>
      </rPr>
      <t>下班、</t>
    </r>
    <r>
      <rPr>
        <sz val="12"/>
        <color theme="1"/>
        <rFont val="新細明體"/>
        <family val="1"/>
        <charset val="136"/>
        <scheme val="minor"/>
      </rPr>
      <t>星期二</t>
    </r>
    <r>
      <rPr>
        <sz val="12"/>
        <color rgb="FFFF0000"/>
        <rFont val="新細明體"/>
        <family val="1"/>
        <charset val="136"/>
        <scheme val="minor"/>
      </rPr>
      <t>上班、</t>
    </r>
    <r>
      <rPr>
        <sz val="12"/>
        <color theme="1"/>
        <rFont val="新細明體"/>
        <family val="1"/>
        <charset val="136"/>
        <scheme val="minor"/>
      </rPr>
      <t>星期二</t>
    </r>
    <r>
      <rPr>
        <sz val="12"/>
        <color rgb="FFFF0000"/>
        <rFont val="新細明體"/>
        <family val="1"/>
        <charset val="136"/>
        <scheme val="minor"/>
      </rPr>
      <t>下班</t>
    </r>
    <r>
      <rPr>
        <sz val="12"/>
        <color theme="1"/>
        <rFont val="新細明體"/>
        <family val="2"/>
        <charset val="136"/>
        <scheme val="minor"/>
      </rPr>
      <t xml:space="preserve">未刷卡即算連兩天)。
</t>
    </r>
    <phoneticPr fontId="1" type="noConversion"/>
  </si>
  <si>
    <t>出差</t>
    <phoneticPr fontId="1" type="noConversion"/>
  </si>
  <si>
    <t>出差</t>
    <phoneticPr fontId="1" type="noConversion"/>
  </si>
  <si>
    <t>出差</t>
    <phoneticPr fontId="1" type="noConversion"/>
  </si>
  <si>
    <t>徐亞維</t>
    <phoneticPr fontId="1" type="noConversion"/>
  </si>
  <si>
    <t>△</t>
  </si>
  <si>
    <t>2025年1/1~3/24</t>
    <phoneticPr fontId="1" type="noConversion"/>
  </si>
  <si>
    <t>◎</t>
  </si>
  <si>
    <t>歸零後總結</t>
    <phoneticPr fontId="1" type="noConversion"/>
  </si>
  <si>
    <t>歸零前總結</t>
    <phoneticPr fontId="1" type="noConversion"/>
  </si>
  <si>
    <t>欠84單位</t>
    <phoneticPr fontId="1" type="noConversion"/>
  </si>
  <si>
    <t>欠20單位</t>
    <phoneticPr fontId="1" type="noConversion"/>
  </si>
  <si>
    <t>欠1單位</t>
    <phoneticPr fontId="1" type="noConversion"/>
  </si>
  <si>
    <t>欠24單位</t>
    <phoneticPr fontId="1" type="noConversion"/>
  </si>
  <si>
    <t>欠49單位</t>
    <phoneticPr fontId="1" type="noConversion"/>
  </si>
  <si>
    <t>2024年度 與2025 1-3月總結計算結果</t>
    <phoneticPr fontId="1" type="noConversion"/>
  </si>
  <si>
    <t>去年17單位直接歸零，剩24單位</t>
    <phoneticPr fontId="1" type="noConversion"/>
  </si>
  <si>
    <t>去年10單位直接歸零，剩0單位</t>
    <phoneticPr fontId="1" type="noConversion"/>
  </si>
  <si>
    <t>總結完去年還剩71單位 直接歸，剩0單位</t>
    <phoneticPr fontId="1" type="noConversion"/>
  </si>
  <si>
    <t>總結完去年還剩11單位 直接歸零，剩0單位</t>
    <phoneticPr fontId="1" type="noConversion"/>
  </si>
  <si>
    <t>總結完去年還剩66單位 直接歸零，剩0單位</t>
    <phoneticPr fontId="1" type="noConversion"/>
  </si>
  <si>
    <t>總結完去年還剩10單位 直接歸零，剩0單位</t>
    <phoneticPr fontId="1" type="noConversion"/>
  </si>
  <si>
    <t>去年加今年前三個月總結，剩5單位</t>
    <phoneticPr fontId="1" type="noConversion"/>
  </si>
  <si>
    <t>去年9單位直接歸零，剩11單位</t>
    <phoneticPr fontId="1" type="noConversion"/>
  </si>
  <si>
    <t>去年17單位直接歸零，剩11單位</t>
    <phoneticPr fontId="1" type="noConversion"/>
  </si>
  <si>
    <t>去年24單位直接歸零，剩4單位</t>
    <phoneticPr fontId="1" type="noConversion"/>
  </si>
  <si>
    <t>校正歸零用(不可刪)</t>
    <phoneticPr fontId="1" type="noConversion"/>
  </si>
  <si>
    <t>吳嘉銘</t>
    <phoneticPr fontId="1" type="noConversion"/>
  </si>
  <si>
    <t>林詠書</t>
    <phoneticPr fontId="1" type="noConversion"/>
  </si>
  <si>
    <t>蘇景郁</t>
    <phoneticPr fontId="1" type="noConversion"/>
  </si>
  <si>
    <t>公出</t>
    <phoneticPr fontId="1" type="noConversion"/>
  </si>
  <si>
    <t>類公出</t>
    <phoneticPr fontId="1" type="noConversion"/>
  </si>
  <si>
    <t>外出</t>
    <phoneticPr fontId="1" type="noConversion"/>
  </si>
  <si>
    <t>外出</t>
  </si>
  <si>
    <t>TIM</t>
    <phoneticPr fontId="1" type="noConversion"/>
  </si>
  <si>
    <t>友誼關</t>
    <phoneticPr fontId="1" type="noConversion"/>
  </si>
  <si>
    <t xml:space="preserve">◎ </t>
  </si>
  <si>
    <t>潘其昌</t>
    <phoneticPr fontId="1" type="noConversion"/>
  </si>
  <si>
    <t xml:space="preserve"> </t>
    <phoneticPr fontId="1" type="noConversion"/>
  </si>
  <si>
    <t>陳明生</t>
    <phoneticPr fontId="1" type="noConversion"/>
  </si>
  <si>
    <t>/</t>
    <phoneticPr fontId="1" type="noConversion"/>
  </si>
  <si>
    <t>有標註（GTK刷臉）</t>
    <phoneticPr fontId="1" type="noConversion"/>
  </si>
  <si>
    <t>8/24 七筆(紅字)為 8/26 (非GTK刷臉)時數</t>
    <phoneticPr fontId="1" type="noConversion"/>
  </si>
  <si>
    <t>8/17 一筆(紅字)為 8/19 (非GTK刷臉)時數</t>
    <phoneticPr fontId="1" type="noConversion"/>
  </si>
  <si>
    <t>9/7 四筆(紅字)為 9/9 (非GTK刷臉)時數</t>
    <phoneticPr fontId="1" type="noConversion"/>
  </si>
  <si>
    <r>
      <t>◎</t>
    </r>
    <r>
      <rPr>
        <sz val="12"/>
        <color rgb="FFFF0000"/>
        <rFont val="Segoe UI Symbol"/>
        <family val="2"/>
      </rPr>
      <t xml:space="preserve"> </t>
    </r>
    <phoneticPr fontId="1" type="noConversion"/>
  </si>
  <si>
    <t>10/6二筆(紅字)為 10/7 (非GTK刷臉)時數</t>
    <phoneticPr fontId="1" type="noConversion"/>
  </si>
  <si>
    <t>9/28三筆(紅字)為 9/30 (非GTK刷臉)時數</t>
    <phoneticPr fontId="1" type="noConversion"/>
  </si>
  <si>
    <t>10/5一筆(紅字)為 10/7 (非GTK刷臉)時數</t>
    <phoneticPr fontId="1" type="noConversion"/>
  </si>
  <si>
    <t>(0.5小時/單位)</t>
    <phoneticPr fontId="1" type="noConversion"/>
  </si>
  <si>
    <t>小時</t>
    <phoneticPr fontId="1" type="noConversion"/>
  </si>
  <si>
    <t>2025總累計單位(扣GKT)
(0.5小時/單位)</t>
    <phoneticPr fontId="1" type="noConversion"/>
  </si>
  <si>
    <t>10/12三筆(紅字)為 10/14 (非GTK刷臉)時</t>
    <phoneticPr fontId="1" type="noConversion"/>
  </si>
  <si>
    <t>10/11二筆(紅字)為 10/21 (非GTK刷臉)時</t>
    <phoneticPr fontId="1" type="noConversion"/>
  </si>
  <si>
    <t>10/4一筆(紅字)為 10/1 (非GTK刷臉)時數</t>
    <phoneticPr fontId="1" type="noConversion"/>
  </si>
  <si>
    <t>10/5一筆(紅字)為 10/8 (非GTK刷臉)時數</t>
    <phoneticPr fontId="1" type="noConversion"/>
  </si>
  <si>
    <t>10/11一筆(紅字)為 10/15 (非GTK刷臉)時數</t>
    <phoneticPr fontId="1" type="noConversion"/>
  </si>
  <si>
    <t>10/18一筆(紅字)為 10/22 (非GTK刷臉)時數</t>
    <phoneticPr fontId="1" type="noConversion"/>
  </si>
  <si>
    <t>10/25四筆(紅字)為 10/28 (非GTK刷臉)時數</t>
    <phoneticPr fontId="1" type="noConversion"/>
  </si>
  <si>
    <t>11/1五筆(紅字)為 11/4 (非GTK刷臉)時數</t>
    <phoneticPr fontId="1" type="noConversion"/>
  </si>
  <si>
    <t>颱風假</t>
    <phoneticPr fontId="1" type="noConversion"/>
  </si>
  <si>
    <t>11/8五筆(紅字)為 11/11 (非GTK刷臉)時數</t>
    <phoneticPr fontId="1" type="noConversion"/>
  </si>
  <si>
    <t>健檢</t>
    <phoneticPr fontId="1" type="noConversion"/>
  </si>
  <si>
    <t>GTK加班費申報扣除時數
(5/17~6/29)</t>
    <phoneticPr fontId="1" type="noConversion"/>
  </si>
  <si>
    <t>11/15三筆(紅字)為 11/18 (非GTK刷臉)時數</t>
    <phoneticPr fontId="1" type="noConversion"/>
  </si>
  <si>
    <t>11/22三筆(紅字)為 11/25 (非GTK刷臉)時數</t>
    <phoneticPr fontId="1" type="noConversion"/>
  </si>
  <si>
    <t>健檢假</t>
    <phoneticPr fontId="1" type="noConversion"/>
  </si>
  <si>
    <t>黃嘉尉</t>
    <phoneticPr fontId="1" type="noConversion"/>
  </si>
  <si>
    <t>12/6 四筆(紅字)為 12/2 (非GTK刷臉)時數</t>
    <phoneticPr fontId="1" type="noConversion"/>
  </si>
  <si>
    <t>12/13 三筆(紅字)為 12/916 (非GTK刷臉)時數</t>
    <phoneticPr fontId="1" type="noConversion"/>
  </si>
  <si>
    <t>GTK加班費申報扣除時數
(8月)</t>
    <phoneticPr fontId="1" type="noConversion"/>
  </si>
  <si>
    <t>GTK加班費申報扣除時數
(9月)</t>
    <phoneticPr fontId="1" type="noConversion"/>
  </si>
  <si>
    <t>12/13五筆(紅字)為 12/16 (非GTK刷臉)時數</t>
    <phoneticPr fontId="1" type="noConversion"/>
  </si>
  <si>
    <t>體檢假</t>
    <phoneticPr fontId="1" type="noConversion"/>
  </si>
  <si>
    <t>12/21四筆(紅字)為 12/23 (非GTK刷臉)時數</t>
    <phoneticPr fontId="1" type="noConversion"/>
  </si>
  <si>
    <t>GTK加班費申報扣除時數
10月)</t>
    <phoneticPr fontId="1" type="noConversion"/>
  </si>
  <si>
    <t>GTK加班費申報扣除時數
(11月)</t>
    <phoneticPr fontId="1" type="noConversion"/>
  </si>
  <si>
    <t>GTK加班費申報扣除時數
(12月)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</si>
</sst>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&quot;月&quot;d&quot;日&quot;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MS Gothic"/>
      <family val="3"/>
      <charset val="128"/>
    </font>
    <font>
      <sz val="12"/>
      <color theme="1"/>
      <name val="新細明體"/>
      <family val="2"/>
      <charset val="136"/>
    </font>
    <font>
      <sz val="12"/>
      <color theme="1"/>
      <name val="MS Gothic"/>
      <family val="3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  <font>
      <b/>
      <i/>
      <u/>
      <sz val="12"/>
      <color rgb="FF0070C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Segoe UI Symbol"/>
      <family val="2"/>
    </font>
    <font>
      <sz val="12"/>
      <color theme="1"/>
      <name val="細明體"/>
      <family val="2"/>
      <charset val="136"/>
    </font>
    <font>
      <sz val="12"/>
      <color theme="1"/>
      <name val="微軟正黑體"/>
      <family val="3"/>
      <charset val="136"/>
    </font>
    <font>
      <sz val="12"/>
      <color theme="1"/>
      <name val="細明體"/>
      <family val="3"/>
      <charset val="136"/>
    </font>
    <font>
      <sz val="12"/>
      <name val="新細明體"/>
      <family val="1"/>
      <charset val="136"/>
      <scheme val="minor"/>
    </font>
    <font>
      <sz val="12"/>
      <color rgb="FFFF0000"/>
      <name val="Segoe UI Symbol"/>
      <family val="2"/>
    </font>
    <font>
      <sz val="12"/>
      <color rgb="FFFF0000"/>
      <name val="細明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medium">
        <color theme="1"/>
      </bottom>
      <diagonal/>
    </border>
    <border>
      <left style="double">
        <color rgb="FFFF0000"/>
      </left>
      <right style="double">
        <color rgb="FFFF0000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>
      <alignment vertical="center"/>
    </xf>
    <xf numFmtId="0" fontId="0" fillId="11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10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一般" xfId="0" builtinId="0"/>
  </cellStyles>
  <dxfs count="58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98427</xdr:colOff>
      <xdr:row>20</xdr:row>
      <xdr:rowOff>118969</xdr:rowOff>
    </xdr:from>
    <xdr:to>
      <xdr:col>23</xdr:col>
      <xdr:colOff>248656</xdr:colOff>
      <xdr:row>21</xdr:row>
      <xdr:rowOff>2117726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4567412-8658-8823-4F48-2FF932F7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6780" y="4803028"/>
          <a:ext cx="4587758" cy="222287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22</xdr:row>
      <xdr:rowOff>146050</xdr:rowOff>
    </xdr:from>
    <xdr:to>
      <xdr:col>14</xdr:col>
      <xdr:colOff>1050369</xdr:colOff>
      <xdr:row>35</xdr:row>
      <xdr:rowOff>121619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5CD888A-9FA8-8AC9-5DDB-08076E8BA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1" y="8210550"/>
          <a:ext cx="4536518" cy="2779094"/>
        </a:xfrm>
        <a:prstGeom prst="rect">
          <a:avLst/>
        </a:prstGeom>
      </xdr:spPr>
    </xdr:pic>
    <xdr:clientData/>
  </xdr:twoCellAnchor>
  <xdr:twoCellAnchor editAs="oneCell">
    <xdr:from>
      <xdr:col>18</xdr:col>
      <xdr:colOff>178174</xdr:colOff>
      <xdr:row>21</xdr:row>
      <xdr:rowOff>2089709</xdr:rowOff>
    </xdr:from>
    <xdr:to>
      <xdr:col>23</xdr:col>
      <xdr:colOff>236726</xdr:colOff>
      <xdr:row>21</xdr:row>
      <xdr:rowOff>4642955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58CCA89-C0CE-EA18-7BDF-4EDEAC61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6527" y="6997885"/>
          <a:ext cx="4496081" cy="2553246"/>
        </a:xfrm>
        <a:prstGeom prst="rect">
          <a:avLst/>
        </a:prstGeom>
      </xdr:spPr>
    </xdr:pic>
    <xdr:clientData/>
  </xdr:twoCellAnchor>
  <xdr:twoCellAnchor editAs="oneCell">
    <xdr:from>
      <xdr:col>24</xdr:col>
      <xdr:colOff>109271</xdr:colOff>
      <xdr:row>24</xdr:row>
      <xdr:rowOff>140312</xdr:rowOff>
    </xdr:from>
    <xdr:to>
      <xdr:col>41</xdr:col>
      <xdr:colOff>458403</xdr:colOff>
      <xdr:row>32</xdr:row>
      <xdr:rowOff>141021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015D0C1-9BDD-59CA-F94B-133B3CA9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73742" y="10696253"/>
          <a:ext cx="11375720" cy="179365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122197</xdr:colOff>
      <xdr:row>21</xdr:row>
      <xdr:rowOff>3770993</xdr:rowOff>
    </xdr:from>
    <xdr:to>
      <xdr:col>41</xdr:col>
      <xdr:colOff>212424</xdr:colOff>
      <xdr:row>23</xdr:row>
      <xdr:rowOff>140995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53181EC9-9181-754D-67C2-5406B7E56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86668" y="8679169"/>
          <a:ext cx="11116815" cy="1793650"/>
        </a:xfrm>
        <a:prstGeom prst="rect">
          <a:avLst/>
        </a:prstGeom>
      </xdr:spPr>
    </xdr:pic>
    <xdr:clientData/>
  </xdr:twoCellAnchor>
  <xdr:twoCellAnchor editAs="oneCell">
    <xdr:from>
      <xdr:col>24</xdr:col>
      <xdr:colOff>140954</xdr:colOff>
      <xdr:row>21</xdr:row>
      <xdr:rowOff>1801426</xdr:rowOff>
    </xdr:from>
    <xdr:to>
      <xdr:col>37</xdr:col>
      <xdr:colOff>437889</xdr:colOff>
      <xdr:row>21</xdr:row>
      <xdr:rowOff>3604601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3A5745-F860-54DC-61C3-DB882E864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05425" y="6709602"/>
          <a:ext cx="8903052" cy="1803175"/>
        </a:xfrm>
        <a:prstGeom prst="rect">
          <a:avLst/>
        </a:prstGeom>
      </xdr:spPr>
    </xdr:pic>
    <xdr:clientData/>
  </xdr:twoCellAnchor>
  <xdr:twoCellAnchor editAs="oneCell">
    <xdr:from>
      <xdr:col>24</xdr:col>
      <xdr:colOff>206000</xdr:colOff>
      <xdr:row>20</xdr:row>
      <xdr:rowOff>104638</xdr:rowOff>
    </xdr:from>
    <xdr:to>
      <xdr:col>32</xdr:col>
      <xdr:colOff>46549</xdr:colOff>
      <xdr:row>21</xdr:row>
      <xdr:rowOff>1670996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638A62C0-6017-2516-3BBC-3A87CE6CF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70471" y="4788697"/>
          <a:ext cx="5421078" cy="1790475"/>
        </a:xfrm>
        <a:prstGeom prst="rect">
          <a:avLst/>
        </a:prstGeom>
      </xdr:spPr>
    </xdr:pic>
    <xdr:clientData/>
  </xdr:twoCellAnchor>
  <xdr:twoCellAnchor editAs="oneCell">
    <xdr:from>
      <xdr:col>24</xdr:col>
      <xdr:colOff>123264</xdr:colOff>
      <xdr:row>33</xdr:row>
      <xdr:rowOff>112059</xdr:rowOff>
    </xdr:from>
    <xdr:to>
      <xdr:col>40</xdr:col>
      <xdr:colOff>285985</xdr:colOff>
      <xdr:row>41</xdr:row>
      <xdr:rowOff>122293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E7909FA-9FAE-8DA5-8C37-862B05A4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87735" y="12685059"/>
          <a:ext cx="10584191" cy="180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opLeftCell="A21" zoomScale="70" zoomScaleNormal="70" workbookViewId="0">
      <selection activeCell="Q42" sqref="Q42:Q57"/>
    </sheetView>
  </sheetViews>
  <sheetFormatPr baseColWidth="10" defaultColWidth="8.83203125" defaultRowHeight="15"/>
  <cols>
    <col min="1" max="1" width="5.1640625" bestFit="1" customWidth="1"/>
    <col min="2" max="2" width="8.1640625" bestFit="1" customWidth="1"/>
    <col min="3" max="13" width="15.33203125" customWidth="1"/>
    <col min="14" max="15" width="13.33203125" hidden="1" customWidth="1"/>
    <col min="16" max="17" width="15.33203125" customWidth="1"/>
    <col min="18" max="18" width="124.5" customWidth="1"/>
  </cols>
  <sheetData>
    <row r="1" spans="1:18" ht="24" customHeight="1">
      <c r="A1" s="52" t="s">
        <v>69</v>
      </c>
      <c r="B1" s="52"/>
      <c r="C1" s="48" t="s">
        <v>68</v>
      </c>
      <c r="D1" s="48" t="s">
        <v>67</v>
      </c>
      <c r="E1" s="48" t="s">
        <v>72</v>
      </c>
      <c r="F1" s="48" t="s">
        <v>73</v>
      </c>
      <c r="G1" s="48" t="s">
        <v>74</v>
      </c>
      <c r="H1" s="48" t="s">
        <v>75</v>
      </c>
      <c r="I1" s="48" t="s">
        <v>48</v>
      </c>
      <c r="J1" s="48" t="s">
        <v>58</v>
      </c>
      <c r="K1" s="48" t="s">
        <v>76</v>
      </c>
      <c r="L1" s="48" t="s">
        <v>77</v>
      </c>
      <c r="M1" s="48" t="s">
        <v>78</v>
      </c>
      <c r="N1" s="48" t="s">
        <v>79</v>
      </c>
      <c r="O1" s="48" t="s">
        <v>80</v>
      </c>
      <c r="P1" s="48" t="s">
        <v>79</v>
      </c>
      <c r="Q1" s="48" t="s">
        <v>94</v>
      </c>
      <c r="R1" s="47" t="s">
        <v>89</v>
      </c>
    </row>
    <row r="2" spans="1:18" ht="16.25" customHeight="1">
      <c r="A2" s="1" t="s">
        <v>1</v>
      </c>
      <c r="B2" s="1" t="s">
        <v>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7"/>
    </row>
    <row r="3" spans="1:18" ht="30" customHeight="1">
      <c r="A3" s="1">
        <v>1</v>
      </c>
      <c r="B3" s="1" t="s">
        <v>3</v>
      </c>
      <c r="C3" s="1">
        <f>SUM(D3:O3)</f>
        <v>0</v>
      </c>
      <c r="D3" s="1">
        <f>TP1月份請假!C3</f>
        <v>0</v>
      </c>
      <c r="E3" s="1">
        <f>TP2月份請假!C3</f>
        <v>0</v>
      </c>
      <c r="F3" s="1">
        <f>TP3月份請假!C3</f>
        <v>0</v>
      </c>
      <c r="G3" s="1">
        <f>TP4月份請假!C3</f>
        <v>0</v>
      </c>
      <c r="H3" s="1">
        <f>TP5月份請假!C3</f>
        <v>0</v>
      </c>
      <c r="I3" s="1">
        <f>TP6月份請假!C3</f>
        <v>0</v>
      </c>
      <c r="J3" s="1">
        <f>TP7月份請假!C3</f>
        <v>0</v>
      </c>
      <c r="K3" s="1">
        <f>TP8月份請假!C3</f>
        <v>0</v>
      </c>
      <c r="L3" s="1">
        <f>TP9月份請假!C3</f>
        <v>0</v>
      </c>
      <c r="M3" s="1">
        <f>TP10月份請假!C3</f>
        <v>0</v>
      </c>
      <c r="N3" s="1"/>
      <c r="O3" s="1"/>
      <c r="P3" s="1">
        <f>TP11月份請假!C3</f>
        <v>0</v>
      </c>
      <c r="Q3" s="1">
        <f>TP12月份請假!C3</f>
        <v>0</v>
      </c>
    </row>
    <row r="4" spans="1:18" ht="30" customHeight="1">
      <c r="A4" s="1">
        <v>2</v>
      </c>
      <c r="B4" s="1" t="s">
        <v>4</v>
      </c>
      <c r="C4" s="1">
        <f t="shared" ref="C4:C18" si="0">SUM(D4:O4)</f>
        <v>85</v>
      </c>
      <c r="D4" s="1">
        <f>TP1月份請假!C4</f>
        <v>10</v>
      </c>
      <c r="E4" s="1">
        <f>TP2月份請假!C4</f>
        <v>0</v>
      </c>
      <c r="F4" s="1">
        <f>TP3月份請假!C4</f>
        <v>1</v>
      </c>
      <c r="G4" s="1">
        <f>TP4月份請假!C4</f>
        <v>20</v>
      </c>
      <c r="H4" s="1">
        <f>TP5月份請假!C4</f>
        <v>2</v>
      </c>
      <c r="I4" s="1">
        <f>TP6月份請假!C4</f>
        <v>0</v>
      </c>
      <c r="J4" s="1">
        <f>TP7月份請假!C4</f>
        <v>8</v>
      </c>
      <c r="K4" s="1">
        <f>TP8月份請假!C4</f>
        <v>17</v>
      </c>
      <c r="L4" s="1">
        <f>TP9月份請假!C4</f>
        <v>2</v>
      </c>
      <c r="M4" s="1">
        <f>TP10月份請假!C4</f>
        <v>25</v>
      </c>
      <c r="N4" s="1"/>
      <c r="O4" s="1"/>
      <c r="P4" s="1">
        <f>TP11月份請假!C4</f>
        <v>8</v>
      </c>
      <c r="Q4" s="1">
        <f>TP12月份請假!C4</f>
        <v>4</v>
      </c>
    </row>
    <row r="5" spans="1:18" ht="30" customHeight="1">
      <c r="A5" s="1">
        <v>3</v>
      </c>
      <c r="B5" s="1" t="s">
        <v>5</v>
      </c>
      <c r="C5" s="1">
        <f t="shared" si="0"/>
        <v>45</v>
      </c>
      <c r="D5" s="1">
        <f>TP1月份請假!C5</f>
        <v>0</v>
      </c>
      <c r="E5" s="1">
        <f>TP2月份請假!C5</f>
        <v>4</v>
      </c>
      <c r="F5" s="1">
        <f>TP3月份請假!C5</f>
        <v>0</v>
      </c>
      <c r="G5" s="1">
        <f>TP4月份請假!C5</f>
        <v>5</v>
      </c>
      <c r="H5" s="1">
        <f>TP5月份請假!C5</f>
        <v>2</v>
      </c>
      <c r="I5" s="1">
        <f>TP6月份請假!C5</f>
        <v>10</v>
      </c>
      <c r="J5" s="1">
        <f>TP7月份請假!C5</f>
        <v>13</v>
      </c>
      <c r="K5" s="1">
        <f>TP8月份請假!C5</f>
        <v>1</v>
      </c>
      <c r="L5" s="1">
        <f>TP9月份請假!C5</f>
        <v>2</v>
      </c>
      <c r="M5" s="1">
        <f>TP10月份請假!C5</f>
        <v>8</v>
      </c>
      <c r="N5" s="1"/>
      <c r="O5" s="1"/>
      <c r="P5" s="1">
        <f>TP11月份請假!C5</f>
        <v>0</v>
      </c>
      <c r="Q5" s="1">
        <f>TP12月份請假!C5</f>
        <v>8</v>
      </c>
    </row>
    <row r="6" spans="1:18" ht="30" customHeight="1">
      <c r="A6" s="1">
        <v>4</v>
      </c>
      <c r="B6" s="1" t="s">
        <v>6</v>
      </c>
      <c r="C6" s="1">
        <f t="shared" si="0"/>
        <v>185</v>
      </c>
      <c r="D6" s="1">
        <f>TP1月份請假!C6</f>
        <v>0</v>
      </c>
      <c r="E6" s="1">
        <f>TP2月份請假!C6</f>
        <v>24</v>
      </c>
      <c r="F6" s="1">
        <f>TP3月份請假!C6</f>
        <v>40</v>
      </c>
      <c r="G6" s="1">
        <f>TP4月份請假!C6</f>
        <v>18</v>
      </c>
      <c r="H6" s="1">
        <f>TP5月份請假!C6</f>
        <v>10</v>
      </c>
      <c r="I6" s="1">
        <f>TP6月份請假!C6</f>
        <v>32</v>
      </c>
      <c r="J6" s="1">
        <f>TP7月份請假!C6</f>
        <v>3</v>
      </c>
      <c r="K6" s="1">
        <f>TP8月份請假!C6</f>
        <v>18</v>
      </c>
      <c r="L6" s="1">
        <f>TP9月份請假!C6</f>
        <v>0</v>
      </c>
      <c r="M6" s="1">
        <f>TP10月份請假!C6</f>
        <v>40</v>
      </c>
      <c r="N6" s="1"/>
      <c r="O6" s="1"/>
      <c r="P6" s="1">
        <f>TP11月份請假!C6</f>
        <v>0</v>
      </c>
      <c r="Q6" s="1">
        <f>TP12月份請假!C6</f>
        <v>16</v>
      </c>
    </row>
    <row r="7" spans="1:18" ht="30" customHeight="1">
      <c r="A7" s="1">
        <v>5</v>
      </c>
      <c r="B7" s="1" t="s">
        <v>7</v>
      </c>
      <c r="C7" s="1">
        <f t="shared" si="0"/>
        <v>88</v>
      </c>
      <c r="D7" s="1">
        <f>TP1月份請假!C7</f>
        <v>16</v>
      </c>
      <c r="E7" s="1">
        <f>TP2月份請假!C7</f>
        <v>16</v>
      </c>
      <c r="F7" s="1">
        <f>TP3月份請假!C7</f>
        <v>0</v>
      </c>
      <c r="G7" s="1">
        <f>TP4月份請假!C7</f>
        <v>8</v>
      </c>
      <c r="H7" s="1">
        <f>TP5月份請假!C7</f>
        <v>0</v>
      </c>
      <c r="I7" s="1">
        <f>TP6月份請假!C7</f>
        <v>16</v>
      </c>
      <c r="J7" s="1">
        <f>TP7月份請假!C7</f>
        <v>32</v>
      </c>
      <c r="K7" s="1">
        <f>TP8月份請假!C7</f>
        <v>0</v>
      </c>
      <c r="L7" s="1">
        <f>TP9月份請假!C7</f>
        <v>0</v>
      </c>
      <c r="M7" s="1">
        <f>TP10月份請假!C7</f>
        <v>0</v>
      </c>
      <c r="N7" s="1"/>
      <c r="O7" s="1"/>
      <c r="P7" s="1">
        <f>TP11月份請假!C7</f>
        <v>16</v>
      </c>
      <c r="Q7" s="1">
        <f>TP12月份請假!C7</f>
        <v>0</v>
      </c>
    </row>
    <row r="8" spans="1:18" ht="30" customHeight="1">
      <c r="A8" s="1">
        <v>6</v>
      </c>
      <c r="B8" s="1" t="s">
        <v>8</v>
      </c>
      <c r="C8" s="1">
        <f t="shared" si="0"/>
        <v>190</v>
      </c>
      <c r="D8" s="1">
        <f>TP1月份請假!C8</f>
        <v>32</v>
      </c>
      <c r="E8" s="1">
        <f>TP2月份請假!C8</f>
        <v>24</v>
      </c>
      <c r="F8" s="1">
        <f>TP3月份請假!C8</f>
        <v>16</v>
      </c>
      <c r="G8" s="1">
        <f>TP4月份請假!C8</f>
        <v>6</v>
      </c>
      <c r="H8" s="1">
        <f>TP5月份請假!C8</f>
        <v>0</v>
      </c>
      <c r="I8" s="1">
        <f>TP6月份請假!C8</f>
        <v>0</v>
      </c>
      <c r="J8" s="1">
        <f>TP7月份請假!C8</f>
        <v>48</v>
      </c>
      <c r="K8" s="1">
        <f>TP8月份請假!C8</f>
        <v>0</v>
      </c>
      <c r="L8" s="1">
        <f>TP9月份請假!C8</f>
        <v>16</v>
      </c>
      <c r="M8" s="1">
        <f>TP10月份請假!C8</f>
        <v>48</v>
      </c>
      <c r="N8" s="1"/>
      <c r="O8" s="1"/>
      <c r="P8" s="1">
        <f>TP11月份請假!C8</f>
        <v>16</v>
      </c>
      <c r="Q8" s="1">
        <f>TP12月份請假!C8</f>
        <v>4</v>
      </c>
    </row>
    <row r="9" spans="1:18" ht="30" customHeight="1">
      <c r="A9" s="1">
        <v>7</v>
      </c>
      <c r="B9" s="1" t="s">
        <v>9</v>
      </c>
      <c r="C9" s="1">
        <f t="shared" si="0"/>
        <v>208</v>
      </c>
      <c r="D9" s="1">
        <f>TP1月份請假!C9</f>
        <v>24</v>
      </c>
      <c r="E9" s="1">
        <f>TP2月份請假!C9</f>
        <v>24</v>
      </c>
      <c r="F9" s="1">
        <f>TP3月份請假!C9</f>
        <v>16</v>
      </c>
      <c r="G9" s="1">
        <f>TP4月份請假!C9</f>
        <v>33</v>
      </c>
      <c r="H9" s="1">
        <f>TP5月份請假!C9</f>
        <v>0</v>
      </c>
      <c r="I9" s="1">
        <f>TP6月份請假!C9</f>
        <v>18</v>
      </c>
      <c r="J9" s="1">
        <f>TP7月份請假!C9</f>
        <v>27</v>
      </c>
      <c r="K9" s="1">
        <f>TP8月份請假!C9</f>
        <v>48</v>
      </c>
      <c r="L9" s="1">
        <f>TP9月份請假!C9</f>
        <v>0</v>
      </c>
      <c r="M9" s="1">
        <f>TP10月份請假!C9</f>
        <v>18</v>
      </c>
      <c r="N9" s="1"/>
      <c r="O9" s="1"/>
      <c r="P9" s="1">
        <f>TP11月份請假!C9</f>
        <v>27</v>
      </c>
      <c r="Q9" s="1">
        <f>TP12月份請假!C9</f>
        <v>28</v>
      </c>
    </row>
    <row r="10" spans="1:18" ht="30" customHeight="1">
      <c r="A10" s="1">
        <v>8</v>
      </c>
      <c r="B10" s="1" t="s">
        <v>10</v>
      </c>
      <c r="C10" s="1">
        <f t="shared" si="0"/>
        <v>16</v>
      </c>
      <c r="D10" s="1">
        <f>TP1月份請假!C10</f>
        <v>0</v>
      </c>
      <c r="E10" s="1">
        <f>TP2月份請假!C10</f>
        <v>0</v>
      </c>
      <c r="F10" s="1">
        <f>TP3月份請假!C10</f>
        <v>0</v>
      </c>
      <c r="G10" s="1">
        <f>TP4月份請假!C10</f>
        <v>0</v>
      </c>
      <c r="H10" s="1">
        <f>TP5月份請假!C10</f>
        <v>0</v>
      </c>
      <c r="I10" s="1">
        <f>TP6月份請假!C10</f>
        <v>0</v>
      </c>
      <c r="J10" s="1">
        <f>TP7月份請假!C10</f>
        <v>0</v>
      </c>
      <c r="K10" s="1">
        <f>TP8月份請假!C10</f>
        <v>16</v>
      </c>
      <c r="L10" s="1">
        <f>TP9月份請假!C10</f>
        <v>0</v>
      </c>
      <c r="M10" s="1">
        <f>TP10月份請假!C10</f>
        <v>0</v>
      </c>
      <c r="N10" s="1"/>
      <c r="O10" s="1"/>
      <c r="P10" s="1">
        <f>TP11月份請假!C10</f>
        <v>16</v>
      </c>
      <c r="Q10" s="1">
        <f>TP12月份請假!C10</f>
        <v>0</v>
      </c>
    </row>
    <row r="11" spans="1:18" ht="30" customHeight="1">
      <c r="A11" s="1">
        <v>9</v>
      </c>
      <c r="B11" s="1" t="s">
        <v>11</v>
      </c>
      <c r="C11" s="1">
        <f t="shared" si="0"/>
        <v>77</v>
      </c>
      <c r="D11" s="1">
        <f>TP1月份請假!C11</f>
        <v>0</v>
      </c>
      <c r="E11" s="1">
        <f>TP2月份請假!C11</f>
        <v>24</v>
      </c>
      <c r="F11" s="1">
        <f>TP3月份請假!C11</f>
        <v>16</v>
      </c>
      <c r="G11" s="1">
        <f>TP4月份請假!C11</f>
        <v>20</v>
      </c>
      <c r="H11" s="1">
        <f>TP5月份請假!C11</f>
        <v>0</v>
      </c>
      <c r="I11" s="1">
        <f>TP6月份請假!C11</f>
        <v>16</v>
      </c>
      <c r="J11" s="1">
        <f>TP7月份請假!C11</f>
        <v>1</v>
      </c>
      <c r="K11" s="1">
        <f>TP8月份請假!C11</f>
        <v>0</v>
      </c>
      <c r="L11" s="1">
        <f>TP9月份請假!C11</f>
        <v>0</v>
      </c>
      <c r="M11" s="1">
        <f>TP10月份請假!C11</f>
        <v>0</v>
      </c>
      <c r="N11" s="1"/>
      <c r="O11" s="1"/>
      <c r="P11" s="1">
        <f>TP11月份請假!C11</f>
        <v>16</v>
      </c>
      <c r="Q11" s="1">
        <f>TP12月份請假!C11</f>
        <v>0</v>
      </c>
    </row>
    <row r="12" spans="1:18" ht="30" customHeight="1">
      <c r="A12" s="1">
        <v>10</v>
      </c>
      <c r="B12" s="1" t="s">
        <v>12</v>
      </c>
      <c r="C12" s="1">
        <f t="shared" si="0"/>
        <v>96</v>
      </c>
      <c r="D12" s="1">
        <f>TP1月份請假!C12</f>
        <v>0</v>
      </c>
      <c r="E12" s="1">
        <f>TP2月份請假!C12</f>
        <v>16</v>
      </c>
      <c r="F12" s="1">
        <f>TP3月份請假!C12</f>
        <v>16</v>
      </c>
      <c r="G12" s="1">
        <f>TP4月份請假!C12</f>
        <v>16</v>
      </c>
      <c r="H12" s="1">
        <f>TP5月份請假!C12</f>
        <v>24</v>
      </c>
      <c r="I12" s="1">
        <f>TP6月份請假!C12</f>
        <v>8</v>
      </c>
      <c r="J12" s="1">
        <f>TP7月份請假!C12</f>
        <v>0</v>
      </c>
      <c r="K12" s="1">
        <f>TP8月份請假!C12</f>
        <v>0</v>
      </c>
      <c r="L12" s="1">
        <f>TP9月份請假!C12</f>
        <v>16</v>
      </c>
      <c r="M12" s="1">
        <f>TP10月份請假!C12</f>
        <v>0</v>
      </c>
      <c r="N12" s="1"/>
      <c r="O12" s="1"/>
      <c r="P12" s="1">
        <f>TP11月份請假!C12</f>
        <v>8</v>
      </c>
      <c r="Q12" s="1">
        <f>TP12月份請假!C12</f>
        <v>16</v>
      </c>
    </row>
    <row r="13" spans="1:18" ht="30" customHeight="1">
      <c r="A13" s="1">
        <v>11</v>
      </c>
      <c r="B13" s="1" t="s">
        <v>13</v>
      </c>
      <c r="C13" s="1">
        <f t="shared" si="0"/>
        <v>94</v>
      </c>
      <c r="D13" s="1">
        <f>TP1月份請假!C13</f>
        <v>2</v>
      </c>
      <c r="E13" s="1">
        <f>TP2月份請假!C13</f>
        <v>16</v>
      </c>
      <c r="F13" s="1">
        <f>TP3月份請假!C13</f>
        <v>4</v>
      </c>
      <c r="G13" s="1">
        <f>TP4月份請假!C13</f>
        <v>32</v>
      </c>
      <c r="H13" s="1">
        <f>TP5月份請假!C13</f>
        <v>24</v>
      </c>
      <c r="I13" s="1">
        <f>TP6月份請假!C13</f>
        <v>8</v>
      </c>
      <c r="J13" s="1">
        <f>TP7月份請假!C13</f>
        <v>0</v>
      </c>
      <c r="K13" s="1">
        <f>TP8月份請假!C13</f>
        <v>8</v>
      </c>
      <c r="L13" s="1">
        <f>TP9月份請假!C13</f>
        <v>0</v>
      </c>
      <c r="M13" s="1">
        <f>TP10月份請假!C13</f>
        <v>0</v>
      </c>
      <c r="N13" s="1"/>
      <c r="O13" s="1"/>
      <c r="P13" s="1">
        <f>TP11月份請假!C13</f>
        <v>16</v>
      </c>
      <c r="Q13" s="1">
        <f>TP12月份請假!C13</f>
        <v>0</v>
      </c>
    </row>
    <row r="14" spans="1:18" ht="30" customHeight="1">
      <c r="A14" s="1">
        <v>12</v>
      </c>
      <c r="B14" s="1" t="s">
        <v>14</v>
      </c>
      <c r="C14" s="1">
        <f t="shared" si="0"/>
        <v>128</v>
      </c>
      <c r="D14" s="1">
        <f>TP1月份請假!C14</f>
        <v>0</v>
      </c>
      <c r="E14" s="1">
        <f>TP2月份請假!C14</f>
        <v>64</v>
      </c>
      <c r="F14" s="1">
        <f>TP3月份請假!C14</f>
        <v>32</v>
      </c>
      <c r="G14" s="1">
        <f>TP4月份請假!C14</f>
        <v>16</v>
      </c>
      <c r="H14" s="1">
        <f>TP5月份請假!C14</f>
        <v>0</v>
      </c>
      <c r="I14" s="1">
        <f>TP6月份請假!C14</f>
        <v>0</v>
      </c>
      <c r="J14" s="1">
        <f>TP7月份請假!C14</f>
        <v>8</v>
      </c>
      <c r="K14" s="1">
        <f>TP8月份請假!C14</f>
        <v>8</v>
      </c>
      <c r="L14" s="1">
        <f>TP9月份請假!C14</f>
        <v>0</v>
      </c>
      <c r="M14" s="1">
        <f>TP10月份請假!C14</f>
        <v>0</v>
      </c>
      <c r="N14" s="1"/>
      <c r="O14" s="1"/>
      <c r="P14" s="1">
        <f>TP11月份請假!C14</f>
        <v>8</v>
      </c>
      <c r="Q14" s="1">
        <f>TP12月份請假!C14</f>
        <v>16</v>
      </c>
    </row>
    <row r="15" spans="1:18" ht="30" customHeight="1">
      <c r="A15" s="1">
        <v>13</v>
      </c>
      <c r="B15" s="1" t="s">
        <v>15</v>
      </c>
      <c r="C15" s="1">
        <f t="shared" si="0"/>
        <v>176</v>
      </c>
      <c r="D15" s="1">
        <f>TP1月份請假!C15</f>
        <v>16</v>
      </c>
      <c r="E15" s="1">
        <f>TP2月份請假!C15</f>
        <v>56</v>
      </c>
      <c r="F15" s="1">
        <f>TP3月份請假!C15</f>
        <v>17</v>
      </c>
      <c r="G15" s="1">
        <f>TP4月份請假!C15</f>
        <v>16</v>
      </c>
      <c r="H15" s="1">
        <f>TP5月份請假!C15</f>
        <v>0</v>
      </c>
      <c r="I15" s="1">
        <f>TP6月份請假!C15</f>
        <v>0</v>
      </c>
      <c r="J15" s="1">
        <f>TP7月份請假!C15</f>
        <v>18</v>
      </c>
      <c r="K15" s="1">
        <f>TP8月份請假!C15</f>
        <v>0</v>
      </c>
      <c r="L15" s="1">
        <f>TP9月份請假!C15</f>
        <v>16</v>
      </c>
      <c r="M15" s="1">
        <f>TP10月份請假!C15</f>
        <v>37</v>
      </c>
      <c r="N15" s="1"/>
      <c r="O15" s="1"/>
      <c r="P15" s="1">
        <f>TP11月份請假!C15</f>
        <v>16</v>
      </c>
      <c r="Q15" s="1">
        <f>TP12月份請假!C15</f>
        <v>10</v>
      </c>
    </row>
    <row r="16" spans="1:18" ht="30" customHeight="1">
      <c r="A16" s="1">
        <v>13</v>
      </c>
      <c r="B16" s="1" t="s">
        <v>16</v>
      </c>
      <c r="C16" s="1">
        <f t="shared" si="0"/>
        <v>130</v>
      </c>
      <c r="D16" s="1">
        <f>TP1月份請假!C16</f>
        <v>0</v>
      </c>
      <c r="E16" s="1">
        <f>TP2月份請假!C16</f>
        <v>16</v>
      </c>
      <c r="F16" s="1">
        <f>TP3月份請假!C16</f>
        <v>0</v>
      </c>
      <c r="G16" s="1">
        <f>TP4月份請假!C16</f>
        <v>32</v>
      </c>
      <c r="H16" s="1">
        <f>TP5月份請假!C16</f>
        <v>18</v>
      </c>
      <c r="I16" s="1">
        <f>TP6月份請假!C16</f>
        <v>0</v>
      </c>
      <c r="J16" s="1">
        <f>TP7月份請假!C16</f>
        <v>16</v>
      </c>
      <c r="K16" s="1">
        <f>TP8月份請假!C16</f>
        <v>16</v>
      </c>
      <c r="L16" s="1">
        <f>TP9月份請假!C16</f>
        <v>16</v>
      </c>
      <c r="M16" s="1">
        <f>TP10月份請假!C16</f>
        <v>16</v>
      </c>
      <c r="N16" s="1"/>
      <c r="O16" s="1"/>
      <c r="P16" s="1">
        <f>TP11月份請假!C16</f>
        <v>8</v>
      </c>
      <c r="Q16" s="1">
        <f>TP12月份請假!C16</f>
        <v>0</v>
      </c>
    </row>
    <row r="17" spans="1:18" ht="30" customHeight="1">
      <c r="A17" s="1">
        <v>14</v>
      </c>
      <c r="B17" s="1" t="s">
        <v>60</v>
      </c>
      <c r="C17" s="1">
        <f t="shared" si="0"/>
        <v>76</v>
      </c>
      <c r="D17" s="1">
        <f>TP1月份請假!C17</f>
        <v>16</v>
      </c>
      <c r="E17" s="1">
        <f>TP2月份請假!C17</f>
        <v>16</v>
      </c>
      <c r="F17" s="1">
        <f>TP3月份請假!C17</f>
        <v>0</v>
      </c>
      <c r="G17" s="1">
        <f>TP4月份請假!C17</f>
        <v>0</v>
      </c>
      <c r="H17" s="1">
        <f>TP5月份請假!C17</f>
        <v>16</v>
      </c>
      <c r="I17" s="1">
        <f>TP6月份請假!C17</f>
        <v>16</v>
      </c>
      <c r="J17" s="1">
        <f>TP7月份請假!C17</f>
        <v>0</v>
      </c>
      <c r="K17" s="1">
        <f>TP8月份請假!C17</f>
        <v>5</v>
      </c>
      <c r="L17" s="1">
        <f>TP9月份請假!C17</f>
        <v>7</v>
      </c>
      <c r="M17" s="1">
        <f>TP10月份請假!C17</f>
        <v>0</v>
      </c>
      <c r="N17" s="1"/>
      <c r="O17" s="1"/>
      <c r="P17" s="1">
        <f>TP11月份請假!C17</f>
        <v>16</v>
      </c>
      <c r="Q17" s="1">
        <f>TP12月份請假!C17</f>
        <v>48</v>
      </c>
    </row>
    <row r="18" spans="1:18" ht="30" customHeight="1">
      <c r="A18" s="1">
        <v>15</v>
      </c>
      <c r="B18" s="1" t="s">
        <v>66</v>
      </c>
      <c r="C18" s="1">
        <f t="shared" si="0"/>
        <v>96</v>
      </c>
      <c r="D18" s="1">
        <f>TP1月份請假!C18</f>
        <v>16</v>
      </c>
      <c r="E18" s="1">
        <f>TP2月份請假!C18</f>
        <v>16</v>
      </c>
      <c r="F18" s="1">
        <f>TP3月份請假!C18</f>
        <v>0</v>
      </c>
      <c r="G18" s="1">
        <f>TP4月份請假!C18</f>
        <v>0</v>
      </c>
      <c r="H18" s="1">
        <f>TP5月份請假!C18</f>
        <v>16</v>
      </c>
      <c r="I18" s="1">
        <f>TP6月份請假!C18</f>
        <v>0</v>
      </c>
      <c r="J18" s="1">
        <f>TP7月份請假!C18</f>
        <v>32</v>
      </c>
      <c r="K18" s="1">
        <f>TP8月份請假!C18</f>
        <v>0</v>
      </c>
      <c r="L18" s="1">
        <f>TP9月份請假!C18</f>
        <v>16</v>
      </c>
      <c r="M18" s="1">
        <f>TP10月份請假!C18</f>
        <v>0</v>
      </c>
      <c r="N18" s="1"/>
      <c r="O18" s="1"/>
      <c r="P18" s="1">
        <f>TP11月份請假!C18</f>
        <v>16</v>
      </c>
      <c r="Q18" s="1">
        <f>TP12月份請假!C18</f>
        <v>48</v>
      </c>
    </row>
    <row r="19" spans="1:18" ht="30" customHeight="1">
      <c r="A19" s="1">
        <v>16</v>
      </c>
      <c r="B19" s="1" t="s">
        <v>87</v>
      </c>
      <c r="C19" s="1">
        <f>SUM(D19:O19)</f>
        <v>72</v>
      </c>
      <c r="D19" s="1">
        <f>TP1月份請假!C19</f>
        <v>0</v>
      </c>
      <c r="E19" s="1">
        <f>TP2月份請假!C19</f>
        <v>0</v>
      </c>
      <c r="F19" s="1">
        <f>TP3月份請假!C19</f>
        <v>8</v>
      </c>
      <c r="G19" s="1">
        <f>TP4月份請假!C19</f>
        <v>8</v>
      </c>
      <c r="H19" s="1">
        <f>TP5月份請假!C19</f>
        <v>16</v>
      </c>
      <c r="I19" s="1">
        <f>TP6月份請假!C19</f>
        <v>8</v>
      </c>
      <c r="J19" s="1">
        <f>TP7月份請假!C20</f>
        <v>32</v>
      </c>
      <c r="K19" s="1">
        <f>TP8月份請假!C19</f>
        <v>0</v>
      </c>
      <c r="L19" s="1">
        <f>TP9月份請假!C21</f>
        <v>0</v>
      </c>
      <c r="M19" s="1">
        <f>TP10月份請假!C21</f>
        <v>0</v>
      </c>
      <c r="N19" s="1"/>
      <c r="O19" s="1"/>
      <c r="P19" s="1">
        <f>TP11月份請假!C19</f>
        <v>10</v>
      </c>
      <c r="Q19" s="1">
        <f>TP12月份請假!C19</f>
        <v>12</v>
      </c>
    </row>
    <row r="20" spans="1:18" s="15" customFormat="1" ht="6" customHeight="1"/>
    <row r="21" spans="1:18" ht="24" customHeight="1">
      <c r="A21" s="51" t="s">
        <v>70</v>
      </c>
      <c r="B21" s="51"/>
      <c r="C21" s="48" t="s">
        <v>68</v>
      </c>
      <c r="D21" s="48" t="s">
        <v>67</v>
      </c>
      <c r="E21" s="48" t="s">
        <v>72</v>
      </c>
      <c r="F21" s="48" t="s">
        <v>73</v>
      </c>
      <c r="G21" s="48" t="s">
        <v>74</v>
      </c>
      <c r="H21" s="48" t="s">
        <v>75</v>
      </c>
      <c r="I21" s="48" t="s">
        <v>48</v>
      </c>
      <c r="J21" s="48" t="s">
        <v>58</v>
      </c>
      <c r="K21" s="48" t="s">
        <v>76</v>
      </c>
      <c r="L21" s="48" t="s">
        <v>77</v>
      </c>
      <c r="M21" s="48" t="s">
        <v>78</v>
      </c>
      <c r="N21" s="48" t="s">
        <v>79</v>
      </c>
      <c r="O21" s="48" t="s">
        <v>80</v>
      </c>
      <c r="P21" s="48" t="s">
        <v>79</v>
      </c>
      <c r="Q21" s="48" t="s">
        <v>94</v>
      </c>
      <c r="R21" s="47" t="s">
        <v>90</v>
      </c>
    </row>
    <row r="22" spans="1:18">
      <c r="A22" s="1" t="s">
        <v>1</v>
      </c>
      <c r="B22" s="1" t="s">
        <v>2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7"/>
    </row>
    <row r="23" spans="1:18" ht="30" customHeight="1">
      <c r="A23" s="1">
        <v>1</v>
      </c>
      <c r="B23" s="1" t="s">
        <v>3</v>
      </c>
      <c r="C23" s="1">
        <f>SUM(D23:O23)</f>
        <v>0</v>
      </c>
      <c r="D23" s="1">
        <f>TP1月份加班!C3</f>
        <v>0</v>
      </c>
      <c r="E23" s="1">
        <f>TP2月份加班!C3</f>
        <v>0</v>
      </c>
      <c r="F23" s="1">
        <f>TP3月份加班!C3</f>
        <v>0</v>
      </c>
      <c r="G23" s="1">
        <f>TP4月份加班!C3</f>
        <v>0</v>
      </c>
      <c r="H23" s="1">
        <f>TP5月份加班!C3</f>
        <v>0</v>
      </c>
      <c r="I23" s="1">
        <f>TP6月份加班!C3</f>
        <v>0</v>
      </c>
      <c r="J23" s="1">
        <f>TP7月份加班!C3</f>
        <v>0</v>
      </c>
      <c r="K23" s="1">
        <f>TP8月份加班!C3</f>
        <v>0</v>
      </c>
      <c r="L23" s="1">
        <f>TP9月份加班!C3</f>
        <v>0</v>
      </c>
      <c r="M23" s="1">
        <f>TP10月份加班!C3</f>
        <v>0</v>
      </c>
      <c r="N23" s="1"/>
      <c r="O23" s="1"/>
      <c r="P23" s="1">
        <f>TP11月份加班!C3</f>
        <v>0</v>
      </c>
      <c r="Q23" s="1">
        <f>TP12月份加班!C3</f>
        <v>0</v>
      </c>
    </row>
    <row r="24" spans="1:18" ht="30" customHeight="1">
      <c r="A24" s="1">
        <v>2</v>
      </c>
      <c r="B24" s="1" t="s">
        <v>4</v>
      </c>
      <c r="C24" s="1">
        <f t="shared" ref="C24:C37" si="1">SUM(D24:O24)</f>
        <v>74</v>
      </c>
      <c r="D24" s="1">
        <f>TP1月份加班!C4</f>
        <v>0</v>
      </c>
      <c r="E24" s="1">
        <f>TP2月份加班!C4</f>
        <v>0</v>
      </c>
      <c r="F24" s="1">
        <f>TP3月份加班!C4</f>
        <v>35</v>
      </c>
      <c r="G24" s="1">
        <f>TP4月份加班!C4</f>
        <v>17</v>
      </c>
      <c r="H24" s="1">
        <f>TP5月份加班!C4</f>
        <v>17</v>
      </c>
      <c r="I24" s="1">
        <f>TP6月份加班!C4</f>
        <v>2</v>
      </c>
      <c r="J24" s="1">
        <f>TP7月份加班!C4</f>
        <v>3</v>
      </c>
      <c r="K24" s="1">
        <f>TP8月份加班!C4</f>
        <v>0</v>
      </c>
      <c r="L24" s="1">
        <f>TP9月份加班!C4</f>
        <v>0</v>
      </c>
      <c r="M24" s="1">
        <f>TP10月份加班!C4</f>
        <v>0</v>
      </c>
      <c r="N24" s="1"/>
      <c r="O24" s="1"/>
      <c r="P24" s="1">
        <f>TP11月份加班!C4</f>
        <v>0</v>
      </c>
      <c r="Q24" s="1">
        <f>TP12月份加班!C4</f>
        <v>0</v>
      </c>
    </row>
    <row r="25" spans="1:18" ht="30" customHeight="1">
      <c r="A25" s="1">
        <v>3</v>
      </c>
      <c r="B25" s="1" t="s">
        <v>5</v>
      </c>
      <c r="C25" s="1">
        <f t="shared" si="1"/>
        <v>10</v>
      </c>
      <c r="D25" s="1">
        <f>TP1月份加班!C5</f>
        <v>0</v>
      </c>
      <c r="E25" s="1">
        <f>TP2月份加班!C5</f>
        <v>8</v>
      </c>
      <c r="F25" s="1">
        <f>TP3月份加班!C5</f>
        <v>0</v>
      </c>
      <c r="G25" s="1">
        <f>TP4月份加班!C5</f>
        <v>2</v>
      </c>
      <c r="H25" s="1">
        <f>TP5月份加班!C5</f>
        <v>0</v>
      </c>
      <c r="I25" s="1">
        <f>TP6月份加班!C5</f>
        <v>0</v>
      </c>
      <c r="J25" s="1">
        <f>TP7月份加班!C5</f>
        <v>0</v>
      </c>
      <c r="K25" s="1">
        <f>TP8月份加班!C5</f>
        <v>0</v>
      </c>
      <c r="L25" s="1">
        <f>TP9月份加班!C5</f>
        <v>0</v>
      </c>
      <c r="M25" s="1">
        <f>TP10月份加班!C5</f>
        <v>0</v>
      </c>
      <c r="N25" s="1"/>
      <c r="O25" s="1"/>
      <c r="P25" s="1">
        <f>TP11月份加班!C5</f>
        <v>0</v>
      </c>
      <c r="Q25" s="1">
        <f>TP12月份加班!C5</f>
        <v>8</v>
      </c>
    </row>
    <row r="26" spans="1:18" ht="30" customHeight="1">
      <c r="A26" s="1">
        <v>4</v>
      </c>
      <c r="B26" s="1" t="s">
        <v>6</v>
      </c>
      <c r="C26" s="1">
        <f t="shared" si="1"/>
        <v>175</v>
      </c>
      <c r="D26" s="1">
        <f>TP1月份加班!C6</f>
        <v>4</v>
      </c>
      <c r="E26" s="1">
        <f>TP2月份加班!C6</f>
        <v>10</v>
      </c>
      <c r="F26" s="1">
        <f>TP3月份加班!C6</f>
        <v>29</v>
      </c>
      <c r="G26" s="1">
        <f>TP4月份加班!C6</f>
        <v>55</v>
      </c>
      <c r="H26" s="1">
        <f>TP5月份加班!C6</f>
        <v>12</v>
      </c>
      <c r="I26" s="1">
        <f>TP6月份加班!C6</f>
        <v>18</v>
      </c>
      <c r="J26" s="1">
        <f>TP7月份加班!C6</f>
        <v>6</v>
      </c>
      <c r="K26" s="1">
        <f>TP8月份加班!C6</f>
        <v>27</v>
      </c>
      <c r="L26" s="1">
        <f>TP9月份加班!C6</f>
        <v>6</v>
      </c>
      <c r="M26" s="1">
        <f>TP10月份加班!C6</f>
        <v>8</v>
      </c>
      <c r="N26" s="1"/>
      <c r="O26" s="1"/>
      <c r="P26" s="1">
        <f>TP11月份加班!C6</f>
        <v>20</v>
      </c>
      <c r="Q26" s="1">
        <f>TP12月份加班!C6</f>
        <v>12</v>
      </c>
    </row>
    <row r="27" spans="1:18" ht="30" customHeight="1">
      <c r="A27" s="1">
        <v>5</v>
      </c>
      <c r="B27" s="1" t="s">
        <v>7</v>
      </c>
      <c r="C27" s="1">
        <f t="shared" si="1"/>
        <v>398</v>
      </c>
      <c r="D27" s="1">
        <f>TP1月份加班!C7</f>
        <v>18</v>
      </c>
      <c r="E27" s="1">
        <f>TP2月份加班!C7</f>
        <v>16</v>
      </c>
      <c r="F27" s="1">
        <f>TP3月份加班!C7</f>
        <v>21</v>
      </c>
      <c r="G27" s="1">
        <f>TP4月份加班!C7</f>
        <v>2</v>
      </c>
      <c r="H27" s="1">
        <f>TP5月份加班!C7</f>
        <v>53</v>
      </c>
      <c r="I27" s="1">
        <f>TP6月份加班!C7</f>
        <v>83</v>
      </c>
      <c r="J27" s="1">
        <f>TP7月份加班!C7</f>
        <v>0</v>
      </c>
      <c r="K27" s="1">
        <f>TP8月份加班!C7</f>
        <v>38</v>
      </c>
      <c r="L27" s="1">
        <f>TP9月份加班!C7</f>
        <v>94</v>
      </c>
      <c r="M27" s="1">
        <f>TP10月份加班!C7</f>
        <v>73</v>
      </c>
      <c r="N27" s="1"/>
      <c r="O27" s="1"/>
      <c r="P27" s="1">
        <f>TP11月份加班!C7</f>
        <v>56</v>
      </c>
      <c r="Q27" s="1">
        <f>TP12月份加班!C7</f>
        <v>96</v>
      </c>
    </row>
    <row r="28" spans="1:18" ht="30" customHeight="1">
      <c r="A28" s="1">
        <v>6</v>
      </c>
      <c r="B28" s="1" t="s">
        <v>8</v>
      </c>
      <c r="C28" s="1">
        <f t="shared" si="1"/>
        <v>274</v>
      </c>
      <c r="D28" s="1">
        <f>TP1月份加班!C8</f>
        <v>7</v>
      </c>
      <c r="E28" s="1">
        <f>TP2月份加班!C8</f>
        <v>12</v>
      </c>
      <c r="F28" s="1">
        <f>TP3月份加班!C8</f>
        <v>24</v>
      </c>
      <c r="G28" s="1">
        <f>TP4月份加班!C8</f>
        <v>6</v>
      </c>
      <c r="H28" s="1">
        <f>TP5月份加班!C8</f>
        <v>45</v>
      </c>
      <c r="I28" s="1">
        <f>TP6月份加班!C8</f>
        <v>98</v>
      </c>
      <c r="J28" s="1">
        <f>TP7月份加班!C8</f>
        <v>7</v>
      </c>
      <c r="K28" s="1">
        <f>TP8月份加班!C8</f>
        <v>45</v>
      </c>
      <c r="L28" s="1">
        <f>TP9月份加班!C8</f>
        <v>16</v>
      </c>
      <c r="M28" s="1">
        <f>TP10月份加班!C8</f>
        <v>14</v>
      </c>
      <c r="N28" s="1"/>
      <c r="O28" s="1"/>
      <c r="P28" s="1">
        <f>TP11月份加班!C8</f>
        <v>20</v>
      </c>
      <c r="Q28" s="1">
        <f>TP12月份加班!C8</f>
        <v>16</v>
      </c>
    </row>
    <row r="29" spans="1:18" ht="30" customHeight="1">
      <c r="A29" s="1">
        <v>7</v>
      </c>
      <c r="B29" s="1" t="s">
        <v>9</v>
      </c>
      <c r="C29" s="1">
        <f t="shared" si="1"/>
        <v>188</v>
      </c>
      <c r="D29" s="1">
        <f>TP1月份加班!C9</f>
        <v>6</v>
      </c>
      <c r="E29" s="1">
        <f>TP2月份加班!C9</f>
        <v>0</v>
      </c>
      <c r="F29" s="1">
        <f>TP3月份加班!C9</f>
        <v>32</v>
      </c>
      <c r="G29" s="1">
        <f>TP4月份加班!C9</f>
        <v>54</v>
      </c>
      <c r="H29" s="1">
        <f>TP5月份加班!C9</f>
        <v>20</v>
      </c>
      <c r="I29" s="1">
        <f>TP6月份加班!C9</f>
        <v>17</v>
      </c>
      <c r="J29" s="1">
        <f>TP7月份加班!C9</f>
        <v>19</v>
      </c>
      <c r="K29" s="1">
        <f>TP8月份加班!C9</f>
        <v>26</v>
      </c>
      <c r="L29" s="1">
        <f>TP9月份加班!C9</f>
        <v>6</v>
      </c>
      <c r="M29" s="1">
        <f>TP10月份加班!C9</f>
        <v>8</v>
      </c>
      <c r="N29" s="1"/>
      <c r="O29" s="1"/>
      <c r="P29" s="1">
        <f>TP11月份加班!C9</f>
        <v>5</v>
      </c>
      <c r="Q29" s="1">
        <f>TP12月份加班!C9</f>
        <v>7</v>
      </c>
    </row>
    <row r="30" spans="1:18" ht="30" customHeight="1">
      <c r="A30" s="1">
        <v>8</v>
      </c>
      <c r="B30" s="1" t="s">
        <v>10</v>
      </c>
      <c r="C30" s="1">
        <f t="shared" si="1"/>
        <v>137</v>
      </c>
      <c r="D30" s="1">
        <f>TP1月份加班!C10</f>
        <v>0</v>
      </c>
      <c r="E30" s="1">
        <f>TP2月份加班!C10</f>
        <v>0</v>
      </c>
      <c r="F30" s="1">
        <f>TP3月份加班!C10</f>
        <v>0</v>
      </c>
      <c r="G30" s="1">
        <f>TP4月份加班!C10</f>
        <v>0</v>
      </c>
      <c r="H30" s="1">
        <f>TP5月份加班!C10</f>
        <v>30</v>
      </c>
      <c r="I30" s="1">
        <f>TP6月份加班!C10</f>
        <v>52</v>
      </c>
      <c r="J30" s="1">
        <f>TP7月份加班!C10</f>
        <v>0</v>
      </c>
      <c r="K30" s="1">
        <f>TP8月份加班!C10</f>
        <v>22</v>
      </c>
      <c r="L30" s="1">
        <f>TP9月份加班!C10</f>
        <v>12</v>
      </c>
      <c r="M30" s="1">
        <f>TP10月份加班!C10</f>
        <v>21</v>
      </c>
      <c r="N30" s="1"/>
      <c r="O30" s="1"/>
      <c r="P30" s="1">
        <f>TP11月份加班!C10</f>
        <v>17</v>
      </c>
      <c r="Q30" s="1">
        <f>TP12月份加班!C10</f>
        <v>0</v>
      </c>
    </row>
    <row r="31" spans="1:18" ht="30" customHeight="1">
      <c r="A31" s="1">
        <v>9</v>
      </c>
      <c r="B31" s="1" t="s">
        <v>11</v>
      </c>
      <c r="C31" s="1">
        <f t="shared" si="1"/>
        <v>296</v>
      </c>
      <c r="D31" s="1">
        <f>TP1月份加班!C11</f>
        <v>0</v>
      </c>
      <c r="E31" s="1">
        <f>TP2月份加班!C11</f>
        <v>0</v>
      </c>
      <c r="F31" s="1">
        <f>TP3月份加班!C11</f>
        <v>2</v>
      </c>
      <c r="G31" s="1">
        <f>TP4月份加班!C11</f>
        <v>12</v>
      </c>
      <c r="H31" s="1">
        <f>TP5月份加班!C11</f>
        <v>24</v>
      </c>
      <c r="I31" s="1">
        <f>TP6月份加班!C11</f>
        <v>14</v>
      </c>
      <c r="J31" s="1">
        <f>TP7月份加班!C11</f>
        <v>33</v>
      </c>
      <c r="K31" s="1">
        <f>TP8月份加班!C11</f>
        <v>57</v>
      </c>
      <c r="L31" s="1">
        <f>TP9月份加班!C11</f>
        <v>93</v>
      </c>
      <c r="M31" s="1">
        <f>TP10月份加班!C11</f>
        <v>61</v>
      </c>
      <c r="N31" s="1"/>
      <c r="O31" s="1"/>
      <c r="P31" s="1">
        <f>TP11月份加班!C11</f>
        <v>63</v>
      </c>
      <c r="Q31" s="1">
        <f>TP12月份加班!C11</f>
        <v>74</v>
      </c>
    </row>
    <row r="32" spans="1:18" ht="30" customHeight="1">
      <c r="A32" s="1">
        <v>10</v>
      </c>
      <c r="B32" s="1" t="s">
        <v>12</v>
      </c>
      <c r="C32" s="1">
        <f t="shared" si="1"/>
        <v>113</v>
      </c>
      <c r="D32" s="1">
        <f>TP1月份加班!C12</f>
        <v>0</v>
      </c>
      <c r="E32" s="1">
        <f>TP2月份加班!C12</f>
        <v>0</v>
      </c>
      <c r="F32" s="1">
        <f>TP3月份加班!C12</f>
        <v>25</v>
      </c>
      <c r="G32" s="1">
        <f>TP4月份加班!C12</f>
        <v>26</v>
      </c>
      <c r="H32" s="1">
        <f>TP5月份加班!C12</f>
        <v>6</v>
      </c>
      <c r="I32" s="1">
        <f>TP6月份加班!C12</f>
        <v>4</v>
      </c>
      <c r="J32" s="1">
        <f>TP7月份加班!C12</f>
        <v>13</v>
      </c>
      <c r="K32" s="1">
        <f>TP8月份加班!C12</f>
        <v>39</v>
      </c>
      <c r="L32" s="1">
        <f>TP9月份加班!C12</f>
        <v>0</v>
      </c>
      <c r="M32" s="1">
        <f>TP10月份加班!C12</f>
        <v>0</v>
      </c>
      <c r="N32" s="1"/>
      <c r="O32" s="1"/>
      <c r="P32" s="1">
        <f>TP11月份加班!C12</f>
        <v>58</v>
      </c>
      <c r="Q32" s="1">
        <f>TP12月份加班!C12</f>
        <v>17</v>
      </c>
    </row>
    <row r="33" spans="1:18" ht="30" customHeight="1">
      <c r="A33" s="1">
        <v>11</v>
      </c>
      <c r="B33" s="1" t="s">
        <v>13</v>
      </c>
      <c r="C33" s="1">
        <f t="shared" si="1"/>
        <v>341</v>
      </c>
      <c r="D33" s="1">
        <f>TP1月份加班!C13</f>
        <v>0</v>
      </c>
      <c r="E33" s="1">
        <f>TP2月份加班!C13</f>
        <v>0</v>
      </c>
      <c r="F33" s="1">
        <f>TP3月份加班!C13</f>
        <v>26</v>
      </c>
      <c r="G33" s="1">
        <f>TP4月份加班!C13</f>
        <v>58</v>
      </c>
      <c r="H33" s="1">
        <f>TP5月份加班!C13</f>
        <v>4</v>
      </c>
      <c r="I33" s="1">
        <f>TP6月份加班!C13</f>
        <v>3</v>
      </c>
      <c r="J33" s="1">
        <f>TP7月份加班!C13</f>
        <v>5</v>
      </c>
      <c r="K33" s="1">
        <f>TP8月份加班!C13</f>
        <v>48</v>
      </c>
      <c r="L33" s="1">
        <f>TP9月份加班!C13</f>
        <v>98</v>
      </c>
      <c r="M33" s="1">
        <f>TP10月份加班!C13</f>
        <v>99</v>
      </c>
      <c r="N33" s="1"/>
      <c r="O33" s="1"/>
      <c r="P33" s="1">
        <f>TP11月份加班!C13</f>
        <v>69</v>
      </c>
      <c r="Q33" s="1">
        <f>TP12月份加班!C13</f>
        <v>98</v>
      </c>
    </row>
    <row r="34" spans="1:18" ht="30" customHeight="1">
      <c r="A34" s="1">
        <v>12</v>
      </c>
      <c r="B34" s="1" t="s">
        <v>14</v>
      </c>
      <c r="C34" s="1">
        <f t="shared" si="1"/>
        <v>327</v>
      </c>
      <c r="D34" s="1">
        <f>TP1月份加班!C14</f>
        <v>0</v>
      </c>
      <c r="E34" s="1">
        <f>TP2月份加班!C14</f>
        <v>18</v>
      </c>
      <c r="F34" s="1">
        <f>TP3月份加班!C14</f>
        <v>32</v>
      </c>
      <c r="G34" s="1">
        <f>TP4月份加班!C14</f>
        <v>42</v>
      </c>
      <c r="H34" s="1">
        <f>TP5月份加班!C14</f>
        <v>20</v>
      </c>
      <c r="I34" s="1">
        <f>TP6月份加班!C14</f>
        <v>23</v>
      </c>
      <c r="J34" s="1">
        <f>TP7月份加班!C14</f>
        <v>0</v>
      </c>
      <c r="K34" s="1">
        <f>TP8月份加班!C14</f>
        <v>48</v>
      </c>
      <c r="L34" s="1">
        <f>TP9月份加班!C14</f>
        <v>52</v>
      </c>
      <c r="M34" s="1">
        <f>TP10月份加班!C14</f>
        <v>92</v>
      </c>
      <c r="N34" s="1"/>
      <c r="O34" s="1"/>
      <c r="P34" s="1">
        <f>TP11月份加班!C14</f>
        <v>74</v>
      </c>
      <c r="Q34" s="1">
        <f>TP12月份加班!C14</f>
        <v>111</v>
      </c>
    </row>
    <row r="35" spans="1:18" ht="30" customHeight="1">
      <c r="A35" s="1">
        <v>13</v>
      </c>
      <c r="B35" s="1" t="s">
        <v>16</v>
      </c>
      <c r="C35" s="1">
        <f t="shared" si="1"/>
        <v>199</v>
      </c>
      <c r="D35" s="1">
        <f>TP1月份加班!C16</f>
        <v>18</v>
      </c>
      <c r="E35" s="1">
        <f>TP2月份加班!C16</f>
        <v>16</v>
      </c>
      <c r="F35" s="1">
        <f>TP3月份加班!C16</f>
        <v>0</v>
      </c>
      <c r="G35" s="1">
        <f>TP4月份加班!C16</f>
        <v>12</v>
      </c>
      <c r="H35" s="1">
        <f>TP5月份加班!C16</f>
        <v>72</v>
      </c>
      <c r="I35" s="1">
        <f>TP6月份加班!C16</f>
        <v>48</v>
      </c>
      <c r="J35" s="1">
        <f>TP7月份加班!C16</f>
        <v>0</v>
      </c>
      <c r="K35" s="1">
        <f>TP8月份加班!C16</f>
        <v>0</v>
      </c>
      <c r="L35" s="1">
        <f>TP9月份加班!C16</f>
        <v>0</v>
      </c>
      <c r="M35" s="1">
        <f>TP10月份加班!C16</f>
        <v>33</v>
      </c>
      <c r="N35" s="1"/>
      <c r="O35" s="1"/>
      <c r="P35" s="1">
        <f>TP11月份加班!C15</f>
        <v>82</v>
      </c>
      <c r="Q35" s="1">
        <f>TP12月份加班!C15</f>
        <v>30</v>
      </c>
    </row>
    <row r="36" spans="1:18" ht="30" customHeight="1">
      <c r="A36" s="1">
        <v>14</v>
      </c>
      <c r="B36" s="1" t="s">
        <v>60</v>
      </c>
      <c r="C36" s="1">
        <f t="shared" si="1"/>
        <v>128</v>
      </c>
      <c r="D36" s="1">
        <f>TP1月份加班!C17</f>
        <v>18</v>
      </c>
      <c r="E36" s="1">
        <f>TP2月份加班!C17</f>
        <v>25</v>
      </c>
      <c r="F36" s="1">
        <f>TP3月份加班!C17</f>
        <v>0</v>
      </c>
      <c r="G36" s="1">
        <f>TP4月份加班!C17</f>
        <v>0</v>
      </c>
      <c r="H36" s="1">
        <f>TP5月份加班!C17</f>
        <v>0</v>
      </c>
      <c r="I36" s="1">
        <f>TP6月份加班!C17</f>
        <v>25</v>
      </c>
      <c r="J36" s="1">
        <f>TP7月份加班!C17</f>
        <v>14</v>
      </c>
      <c r="K36" s="1">
        <f>TP8月份加班!C17</f>
        <v>0</v>
      </c>
      <c r="L36" s="1">
        <f>TP9月份加班!C17</f>
        <v>10</v>
      </c>
      <c r="M36" s="1">
        <f>TP10月份加班!C17</f>
        <v>36</v>
      </c>
      <c r="N36" s="1"/>
      <c r="O36" s="1"/>
      <c r="P36" s="1">
        <f>TP11月份加班!C16</f>
        <v>92</v>
      </c>
      <c r="Q36" s="1">
        <f>TP12月份加班!C16</f>
        <v>144</v>
      </c>
    </row>
    <row r="37" spans="1:18" ht="30" customHeight="1">
      <c r="A37" s="1">
        <v>15</v>
      </c>
      <c r="B37" s="1" t="s">
        <v>66</v>
      </c>
      <c r="C37" s="1">
        <f t="shared" si="1"/>
        <v>206</v>
      </c>
      <c r="D37" s="1">
        <f>TP1月份加班!C18</f>
        <v>18</v>
      </c>
      <c r="E37" s="1">
        <f>TP2月份加班!C18</f>
        <v>25</v>
      </c>
      <c r="F37" s="1">
        <f>TP3月份加班!C18</f>
        <v>0</v>
      </c>
      <c r="G37" s="1">
        <f>TP4月份加班!C18</f>
        <v>0</v>
      </c>
      <c r="H37" s="1">
        <f>TP5月份加班!C18</f>
        <v>38</v>
      </c>
      <c r="I37" s="1">
        <f>TP6月份加班!C18</f>
        <v>79</v>
      </c>
      <c r="J37" s="1">
        <f>TP7月份加班!C18</f>
        <v>0</v>
      </c>
      <c r="K37" s="1">
        <f>TP8月份加班!C18</f>
        <v>0</v>
      </c>
      <c r="L37" s="1">
        <f>TP9月份加班!C18</f>
        <v>10</v>
      </c>
      <c r="M37" s="1">
        <f>TP10月份加班!C18</f>
        <v>36</v>
      </c>
      <c r="N37" s="1"/>
      <c r="O37" s="1"/>
      <c r="P37" s="1">
        <f>TP11月份加班!C17</f>
        <v>71</v>
      </c>
      <c r="Q37" s="1">
        <f>TP12月份加班!C17</f>
        <v>21</v>
      </c>
    </row>
    <row r="38" spans="1:18" ht="30" customHeight="1">
      <c r="A38" s="1">
        <v>16</v>
      </c>
      <c r="B38" s="1" t="s">
        <v>87</v>
      </c>
      <c r="C38" s="1">
        <f>SUM(D38:O38)</f>
        <v>57</v>
      </c>
      <c r="D38" s="1">
        <f>TP1月份加班!C19</f>
        <v>0</v>
      </c>
      <c r="E38" s="1">
        <f>TP2月份加班!C19</f>
        <v>0</v>
      </c>
      <c r="F38" s="1">
        <f>TP3月份加班!C19</f>
        <v>3</v>
      </c>
      <c r="G38" s="1">
        <f>TP4月份加班!C19</f>
        <v>10</v>
      </c>
      <c r="H38" s="1">
        <f>TP5月份加班!C19</f>
        <v>0</v>
      </c>
      <c r="I38" s="1">
        <f>TP6月份加班!C19</f>
        <v>23</v>
      </c>
      <c r="J38" s="1">
        <f>TP7月份加班!C20</f>
        <v>0</v>
      </c>
      <c r="K38" s="1">
        <f>TP8月份加班!C19</f>
        <v>4</v>
      </c>
      <c r="L38" s="1">
        <f>TP9月份加班!C19</f>
        <v>1</v>
      </c>
      <c r="M38" s="1">
        <f>TP10月份加班!C19</f>
        <v>16</v>
      </c>
      <c r="N38" s="1"/>
      <c r="O38" s="1"/>
      <c r="P38" s="1">
        <f>TP11月份加班!C18</f>
        <v>71</v>
      </c>
      <c r="Q38" s="1">
        <f>TP12月份加班!C18</f>
        <v>21</v>
      </c>
    </row>
    <row r="39" spans="1:18" s="15" customFormat="1" ht="6" customHeight="1"/>
    <row r="40" spans="1:18" ht="24" customHeight="1">
      <c r="A40" s="50" t="s">
        <v>71</v>
      </c>
      <c r="B40" s="50"/>
      <c r="C40" s="48" t="s">
        <v>68</v>
      </c>
      <c r="D40" s="48" t="s">
        <v>67</v>
      </c>
      <c r="E40" s="48" t="s">
        <v>81</v>
      </c>
      <c r="F40" s="48" t="s">
        <v>73</v>
      </c>
      <c r="G40" s="48" t="s">
        <v>74</v>
      </c>
      <c r="H40" s="48" t="s">
        <v>75</v>
      </c>
      <c r="I40" s="48" t="s">
        <v>48</v>
      </c>
      <c r="J40" s="48" t="s">
        <v>58</v>
      </c>
      <c r="K40" s="48" t="s">
        <v>76</v>
      </c>
      <c r="L40" s="48" t="s">
        <v>77</v>
      </c>
      <c r="M40" s="48" t="s">
        <v>78</v>
      </c>
      <c r="N40" s="48" t="s">
        <v>79</v>
      </c>
      <c r="O40" s="48" t="s">
        <v>80</v>
      </c>
      <c r="P40" s="48" t="s">
        <v>79</v>
      </c>
      <c r="Q40" s="48" t="s">
        <v>94</v>
      </c>
      <c r="R40" s="47" t="s">
        <v>91</v>
      </c>
    </row>
    <row r="41" spans="1:18">
      <c r="A41" s="1" t="s">
        <v>1</v>
      </c>
      <c r="B41" s="1" t="s">
        <v>2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7"/>
    </row>
    <row r="42" spans="1:18" ht="30" customHeight="1">
      <c r="A42" s="1">
        <v>1</v>
      </c>
      <c r="B42" s="1" t="s">
        <v>3</v>
      </c>
      <c r="C42" s="1">
        <f>SUM(D42:Q42)</f>
        <v>0</v>
      </c>
      <c r="D42" s="1">
        <f>D23-D3</f>
        <v>0</v>
      </c>
      <c r="E42" s="1">
        <f t="shared" ref="E42:Q42" si="2">E23-E3</f>
        <v>0</v>
      </c>
      <c r="F42" s="1">
        <f t="shared" si="2"/>
        <v>0</v>
      </c>
      <c r="G42" s="1">
        <f t="shared" si="2"/>
        <v>0</v>
      </c>
      <c r="H42" s="1">
        <f t="shared" si="2"/>
        <v>0</v>
      </c>
      <c r="I42" s="1">
        <f t="shared" si="2"/>
        <v>0</v>
      </c>
      <c r="J42" s="1">
        <f t="shared" si="2"/>
        <v>0</v>
      </c>
      <c r="K42" s="1">
        <f t="shared" si="2"/>
        <v>0</v>
      </c>
      <c r="L42" s="1">
        <f t="shared" si="2"/>
        <v>0</v>
      </c>
      <c r="M42" s="1">
        <f t="shared" si="2"/>
        <v>0</v>
      </c>
      <c r="N42" s="1">
        <f t="shared" si="2"/>
        <v>0</v>
      </c>
      <c r="O42" s="1">
        <f t="shared" si="2"/>
        <v>0</v>
      </c>
      <c r="P42" s="1">
        <f t="shared" si="2"/>
        <v>0</v>
      </c>
      <c r="Q42" s="1">
        <f t="shared" si="2"/>
        <v>0</v>
      </c>
    </row>
    <row r="43" spans="1:18" ht="30" customHeight="1">
      <c r="A43" s="1">
        <v>2</v>
      </c>
      <c r="B43" s="1" t="s">
        <v>4</v>
      </c>
      <c r="C43" s="1">
        <f t="shared" ref="C43:C57" si="3">SUM(D43:Q43)</f>
        <v>-23</v>
      </c>
      <c r="D43" s="1">
        <f t="shared" ref="D43:M57" si="4">D24-D4</f>
        <v>-10</v>
      </c>
      <c r="E43" s="1">
        <f t="shared" si="4"/>
        <v>0</v>
      </c>
      <c r="F43" s="1">
        <f t="shared" si="4"/>
        <v>34</v>
      </c>
      <c r="G43" s="1">
        <f t="shared" si="4"/>
        <v>-3</v>
      </c>
      <c r="H43" s="1">
        <f t="shared" si="4"/>
        <v>15</v>
      </c>
      <c r="I43" s="1">
        <f t="shared" si="4"/>
        <v>2</v>
      </c>
      <c r="J43" s="1">
        <f t="shared" si="4"/>
        <v>-5</v>
      </c>
      <c r="K43" s="1">
        <f t="shared" si="4"/>
        <v>-17</v>
      </c>
      <c r="L43" s="1">
        <f t="shared" si="4"/>
        <v>-2</v>
      </c>
      <c r="M43" s="1">
        <f t="shared" si="4"/>
        <v>-25</v>
      </c>
      <c r="N43" s="1"/>
      <c r="O43" s="1"/>
      <c r="P43" s="1">
        <f t="shared" ref="P43:Q57" si="5">P24-P4</f>
        <v>-8</v>
      </c>
      <c r="Q43" s="1">
        <f t="shared" si="5"/>
        <v>-4</v>
      </c>
    </row>
    <row r="44" spans="1:18" ht="30" customHeight="1">
      <c r="A44" s="1">
        <v>3</v>
      </c>
      <c r="B44" s="1" t="s">
        <v>5</v>
      </c>
      <c r="C44" s="1">
        <f t="shared" si="3"/>
        <v>-35</v>
      </c>
      <c r="D44" s="1">
        <f t="shared" si="4"/>
        <v>0</v>
      </c>
      <c r="E44" s="1">
        <f t="shared" si="4"/>
        <v>4</v>
      </c>
      <c r="F44" s="1">
        <f t="shared" si="4"/>
        <v>0</v>
      </c>
      <c r="G44" s="1">
        <f t="shared" si="4"/>
        <v>-3</v>
      </c>
      <c r="H44" s="1">
        <f t="shared" si="4"/>
        <v>-2</v>
      </c>
      <c r="I44" s="1">
        <f t="shared" si="4"/>
        <v>-10</v>
      </c>
      <c r="J44" s="1">
        <f t="shared" si="4"/>
        <v>-13</v>
      </c>
      <c r="K44" s="1">
        <f t="shared" si="4"/>
        <v>-1</v>
      </c>
      <c r="L44" s="1">
        <f t="shared" si="4"/>
        <v>-2</v>
      </c>
      <c r="M44" s="1">
        <f t="shared" si="4"/>
        <v>-8</v>
      </c>
      <c r="N44" s="1"/>
      <c r="O44" s="1"/>
      <c r="P44" s="1">
        <f t="shared" si="5"/>
        <v>0</v>
      </c>
      <c r="Q44" s="1">
        <f t="shared" si="5"/>
        <v>0</v>
      </c>
    </row>
    <row r="45" spans="1:18" ht="30" customHeight="1">
      <c r="A45" s="1">
        <v>4</v>
      </c>
      <c r="B45" s="1" t="s">
        <v>6</v>
      </c>
      <c r="C45" s="1">
        <f t="shared" si="3"/>
        <v>6</v>
      </c>
      <c r="D45" s="1">
        <f t="shared" si="4"/>
        <v>4</v>
      </c>
      <c r="E45" s="1">
        <f t="shared" si="4"/>
        <v>-14</v>
      </c>
      <c r="F45" s="1">
        <f t="shared" si="4"/>
        <v>-11</v>
      </c>
      <c r="G45" s="1">
        <f t="shared" si="4"/>
        <v>37</v>
      </c>
      <c r="H45" s="1">
        <f t="shared" si="4"/>
        <v>2</v>
      </c>
      <c r="I45" s="1">
        <f t="shared" si="4"/>
        <v>-14</v>
      </c>
      <c r="J45" s="1">
        <f t="shared" si="4"/>
        <v>3</v>
      </c>
      <c r="K45" s="1">
        <f t="shared" si="4"/>
        <v>9</v>
      </c>
      <c r="L45" s="1">
        <f t="shared" si="4"/>
        <v>6</v>
      </c>
      <c r="M45" s="1">
        <f t="shared" si="4"/>
        <v>-32</v>
      </c>
      <c r="N45" s="1"/>
      <c r="O45" s="1"/>
      <c r="P45" s="1">
        <f t="shared" si="5"/>
        <v>20</v>
      </c>
      <c r="Q45" s="1">
        <f t="shared" si="5"/>
        <v>-4</v>
      </c>
    </row>
    <row r="46" spans="1:18" ht="30" customHeight="1">
      <c r="A46" s="1">
        <v>5</v>
      </c>
      <c r="B46" s="1" t="s">
        <v>7</v>
      </c>
      <c r="C46" s="1">
        <f t="shared" si="3"/>
        <v>446</v>
      </c>
      <c r="D46" s="1">
        <f t="shared" si="4"/>
        <v>2</v>
      </c>
      <c r="E46" s="1">
        <f t="shared" si="4"/>
        <v>0</v>
      </c>
      <c r="F46" s="1">
        <f t="shared" si="4"/>
        <v>21</v>
      </c>
      <c r="G46" s="1">
        <f t="shared" si="4"/>
        <v>-6</v>
      </c>
      <c r="H46" s="1">
        <f t="shared" si="4"/>
        <v>53</v>
      </c>
      <c r="I46" s="1">
        <f t="shared" si="4"/>
        <v>67</v>
      </c>
      <c r="J46" s="1">
        <f t="shared" si="4"/>
        <v>-32</v>
      </c>
      <c r="K46" s="1">
        <f t="shared" si="4"/>
        <v>38</v>
      </c>
      <c r="L46" s="1">
        <f t="shared" si="4"/>
        <v>94</v>
      </c>
      <c r="M46" s="1">
        <f t="shared" si="4"/>
        <v>73</v>
      </c>
      <c r="N46" s="1"/>
      <c r="O46" s="1"/>
      <c r="P46" s="1">
        <f t="shared" si="5"/>
        <v>40</v>
      </c>
      <c r="Q46" s="1">
        <f t="shared" si="5"/>
        <v>96</v>
      </c>
    </row>
    <row r="47" spans="1:18" ht="30" customHeight="1">
      <c r="A47" s="1">
        <v>6</v>
      </c>
      <c r="B47" s="1" t="s">
        <v>8</v>
      </c>
      <c r="C47" s="1">
        <f t="shared" si="3"/>
        <v>100</v>
      </c>
      <c r="D47" s="1">
        <f t="shared" si="4"/>
        <v>-25</v>
      </c>
      <c r="E47" s="1">
        <f t="shared" si="4"/>
        <v>-12</v>
      </c>
      <c r="F47" s="1">
        <f t="shared" si="4"/>
        <v>8</v>
      </c>
      <c r="G47" s="1">
        <f t="shared" si="4"/>
        <v>0</v>
      </c>
      <c r="H47" s="1">
        <f t="shared" si="4"/>
        <v>45</v>
      </c>
      <c r="I47" s="1">
        <f t="shared" si="4"/>
        <v>98</v>
      </c>
      <c r="J47" s="1">
        <f t="shared" si="4"/>
        <v>-41</v>
      </c>
      <c r="K47" s="1">
        <f t="shared" si="4"/>
        <v>45</v>
      </c>
      <c r="L47" s="1">
        <f t="shared" si="4"/>
        <v>0</v>
      </c>
      <c r="M47" s="1">
        <f t="shared" si="4"/>
        <v>-34</v>
      </c>
      <c r="N47" s="1"/>
      <c r="O47" s="1"/>
      <c r="P47" s="1">
        <f t="shared" si="5"/>
        <v>4</v>
      </c>
      <c r="Q47" s="1">
        <f t="shared" si="5"/>
        <v>12</v>
      </c>
    </row>
    <row r="48" spans="1:18" ht="30" customHeight="1">
      <c r="A48" s="1">
        <v>7</v>
      </c>
      <c r="B48" s="1" t="s">
        <v>9</v>
      </c>
      <c r="C48" s="1">
        <f t="shared" si="3"/>
        <v>-63</v>
      </c>
      <c r="D48" s="1">
        <f t="shared" si="4"/>
        <v>-18</v>
      </c>
      <c r="E48" s="1">
        <f t="shared" si="4"/>
        <v>-24</v>
      </c>
      <c r="F48" s="1">
        <f t="shared" si="4"/>
        <v>16</v>
      </c>
      <c r="G48" s="1">
        <f t="shared" si="4"/>
        <v>21</v>
      </c>
      <c r="H48" s="1">
        <f t="shared" si="4"/>
        <v>20</v>
      </c>
      <c r="I48" s="1">
        <f t="shared" si="4"/>
        <v>-1</v>
      </c>
      <c r="J48" s="1">
        <f t="shared" si="4"/>
        <v>-8</v>
      </c>
      <c r="K48" s="1">
        <f t="shared" si="4"/>
        <v>-22</v>
      </c>
      <c r="L48" s="1">
        <f t="shared" si="4"/>
        <v>6</v>
      </c>
      <c r="M48" s="1">
        <f t="shared" si="4"/>
        <v>-10</v>
      </c>
      <c r="N48" s="1"/>
      <c r="O48" s="1"/>
      <c r="P48" s="1">
        <f t="shared" si="5"/>
        <v>-22</v>
      </c>
      <c r="Q48" s="1">
        <f t="shared" si="5"/>
        <v>-21</v>
      </c>
    </row>
    <row r="49" spans="1:17" ht="30" customHeight="1">
      <c r="A49" s="1">
        <v>8</v>
      </c>
      <c r="B49" s="1" t="s">
        <v>10</v>
      </c>
      <c r="C49" s="1">
        <f t="shared" si="3"/>
        <v>122</v>
      </c>
      <c r="D49" s="1">
        <f t="shared" si="4"/>
        <v>0</v>
      </c>
      <c r="E49" s="1">
        <f t="shared" si="4"/>
        <v>0</v>
      </c>
      <c r="F49" s="1">
        <f t="shared" si="4"/>
        <v>0</v>
      </c>
      <c r="G49" s="1">
        <f t="shared" si="4"/>
        <v>0</v>
      </c>
      <c r="H49" s="1">
        <f t="shared" si="4"/>
        <v>30</v>
      </c>
      <c r="I49" s="1">
        <f t="shared" si="4"/>
        <v>52</v>
      </c>
      <c r="J49" s="1">
        <f t="shared" si="4"/>
        <v>0</v>
      </c>
      <c r="K49" s="1">
        <f t="shared" si="4"/>
        <v>6</v>
      </c>
      <c r="L49" s="1">
        <f t="shared" si="4"/>
        <v>12</v>
      </c>
      <c r="M49" s="1">
        <f t="shared" si="4"/>
        <v>21</v>
      </c>
      <c r="N49" s="1"/>
      <c r="O49" s="1"/>
      <c r="P49" s="1">
        <f t="shared" si="5"/>
        <v>1</v>
      </c>
      <c r="Q49" s="1">
        <f t="shared" si="5"/>
        <v>0</v>
      </c>
    </row>
    <row r="50" spans="1:17" ht="30" customHeight="1">
      <c r="A50" s="1">
        <v>9</v>
      </c>
      <c r="B50" s="1" t="s">
        <v>11</v>
      </c>
      <c r="C50" s="1">
        <f t="shared" si="3"/>
        <v>340</v>
      </c>
      <c r="D50" s="1">
        <f t="shared" si="4"/>
        <v>0</v>
      </c>
      <c r="E50" s="1">
        <f t="shared" si="4"/>
        <v>-24</v>
      </c>
      <c r="F50" s="1">
        <f t="shared" si="4"/>
        <v>-14</v>
      </c>
      <c r="G50" s="1">
        <f t="shared" si="4"/>
        <v>-8</v>
      </c>
      <c r="H50" s="1">
        <f t="shared" si="4"/>
        <v>24</v>
      </c>
      <c r="I50" s="1">
        <f t="shared" si="4"/>
        <v>-2</v>
      </c>
      <c r="J50" s="1">
        <f t="shared" si="4"/>
        <v>32</v>
      </c>
      <c r="K50" s="1">
        <f t="shared" si="4"/>
        <v>57</v>
      </c>
      <c r="L50" s="1">
        <f t="shared" si="4"/>
        <v>93</v>
      </c>
      <c r="M50" s="1">
        <f t="shared" si="4"/>
        <v>61</v>
      </c>
      <c r="N50" s="1"/>
      <c r="O50" s="1"/>
      <c r="P50" s="1">
        <f t="shared" si="5"/>
        <v>47</v>
      </c>
      <c r="Q50" s="1">
        <f t="shared" si="5"/>
        <v>74</v>
      </c>
    </row>
    <row r="51" spans="1:17" ht="30" customHeight="1">
      <c r="A51" s="1">
        <v>10</v>
      </c>
      <c r="B51" s="1" t="s">
        <v>12</v>
      </c>
      <c r="C51" s="1">
        <f t="shared" si="3"/>
        <v>68</v>
      </c>
      <c r="D51" s="1">
        <f t="shared" si="4"/>
        <v>0</v>
      </c>
      <c r="E51" s="1">
        <f t="shared" si="4"/>
        <v>-16</v>
      </c>
      <c r="F51" s="1">
        <f t="shared" si="4"/>
        <v>9</v>
      </c>
      <c r="G51" s="1">
        <f t="shared" si="4"/>
        <v>10</v>
      </c>
      <c r="H51" s="1">
        <f t="shared" si="4"/>
        <v>-18</v>
      </c>
      <c r="I51" s="1">
        <f t="shared" si="4"/>
        <v>-4</v>
      </c>
      <c r="J51" s="1">
        <f t="shared" si="4"/>
        <v>13</v>
      </c>
      <c r="K51" s="1">
        <f t="shared" si="4"/>
        <v>39</v>
      </c>
      <c r="L51" s="1">
        <f t="shared" si="4"/>
        <v>-16</v>
      </c>
      <c r="M51" s="1">
        <f t="shared" si="4"/>
        <v>0</v>
      </c>
      <c r="N51" s="1"/>
      <c r="O51" s="1"/>
      <c r="P51" s="1">
        <f t="shared" si="5"/>
        <v>50</v>
      </c>
      <c r="Q51" s="1">
        <f t="shared" si="5"/>
        <v>1</v>
      </c>
    </row>
    <row r="52" spans="1:17" ht="30" customHeight="1">
      <c r="A52" s="1">
        <v>11</v>
      </c>
      <c r="B52" s="1" t="s">
        <v>13</v>
      </c>
      <c r="C52" s="1">
        <f t="shared" si="3"/>
        <v>398</v>
      </c>
      <c r="D52" s="1">
        <f t="shared" si="4"/>
        <v>-2</v>
      </c>
      <c r="E52" s="1">
        <f t="shared" si="4"/>
        <v>-16</v>
      </c>
      <c r="F52" s="1">
        <f t="shared" si="4"/>
        <v>22</v>
      </c>
      <c r="G52" s="1">
        <f t="shared" si="4"/>
        <v>26</v>
      </c>
      <c r="H52" s="1">
        <f t="shared" si="4"/>
        <v>-20</v>
      </c>
      <c r="I52" s="1">
        <f t="shared" si="4"/>
        <v>-5</v>
      </c>
      <c r="J52" s="1">
        <f t="shared" si="4"/>
        <v>5</v>
      </c>
      <c r="K52" s="1">
        <f t="shared" si="4"/>
        <v>40</v>
      </c>
      <c r="L52" s="1">
        <f t="shared" si="4"/>
        <v>98</v>
      </c>
      <c r="M52" s="1">
        <f t="shared" si="4"/>
        <v>99</v>
      </c>
      <c r="N52" s="1"/>
      <c r="O52" s="1"/>
      <c r="P52" s="1">
        <f t="shared" si="5"/>
        <v>53</v>
      </c>
      <c r="Q52" s="1">
        <f t="shared" si="5"/>
        <v>98</v>
      </c>
    </row>
    <row r="53" spans="1:17" ht="30" customHeight="1">
      <c r="A53" s="1">
        <v>12</v>
      </c>
      <c r="B53" s="1" t="s">
        <v>14</v>
      </c>
      <c r="C53" s="1">
        <f t="shared" si="3"/>
        <v>360</v>
      </c>
      <c r="D53" s="1">
        <f t="shared" si="4"/>
        <v>0</v>
      </c>
      <c r="E53" s="1">
        <f t="shared" si="4"/>
        <v>-46</v>
      </c>
      <c r="F53" s="1">
        <f t="shared" si="4"/>
        <v>0</v>
      </c>
      <c r="G53" s="1">
        <f t="shared" si="4"/>
        <v>26</v>
      </c>
      <c r="H53" s="1">
        <f t="shared" si="4"/>
        <v>20</v>
      </c>
      <c r="I53" s="1">
        <f t="shared" si="4"/>
        <v>23</v>
      </c>
      <c r="J53" s="1">
        <f t="shared" si="4"/>
        <v>-8</v>
      </c>
      <c r="K53" s="1">
        <f t="shared" si="4"/>
        <v>40</v>
      </c>
      <c r="L53" s="1">
        <f t="shared" si="4"/>
        <v>52</v>
      </c>
      <c r="M53" s="1">
        <f t="shared" si="4"/>
        <v>92</v>
      </c>
      <c r="N53" s="1"/>
      <c r="O53" s="1"/>
      <c r="P53" s="1">
        <f t="shared" si="5"/>
        <v>66</v>
      </c>
      <c r="Q53" s="1">
        <f t="shared" si="5"/>
        <v>95</v>
      </c>
    </row>
    <row r="54" spans="1:17" ht="30" customHeight="1">
      <c r="A54" s="1">
        <v>13</v>
      </c>
      <c r="B54" s="1" t="s">
        <v>16</v>
      </c>
      <c r="C54" s="1">
        <f t="shared" si="3"/>
        <v>109</v>
      </c>
      <c r="D54" s="1">
        <f t="shared" si="4"/>
        <v>2</v>
      </c>
      <c r="E54" s="1">
        <f t="shared" si="4"/>
        <v>-40</v>
      </c>
      <c r="F54" s="1">
        <f t="shared" si="4"/>
        <v>-17</v>
      </c>
      <c r="G54" s="1">
        <f t="shared" si="4"/>
        <v>-4</v>
      </c>
      <c r="H54" s="1">
        <f t="shared" si="4"/>
        <v>72</v>
      </c>
      <c r="I54" s="1">
        <f t="shared" si="4"/>
        <v>48</v>
      </c>
      <c r="J54" s="1">
        <f t="shared" si="4"/>
        <v>-18</v>
      </c>
      <c r="K54" s="1">
        <f t="shared" si="4"/>
        <v>0</v>
      </c>
      <c r="L54" s="1">
        <f t="shared" si="4"/>
        <v>-16</v>
      </c>
      <c r="M54" s="1">
        <f t="shared" si="4"/>
        <v>-4</v>
      </c>
      <c r="N54" s="1"/>
      <c r="O54" s="1"/>
      <c r="P54" s="1">
        <f t="shared" si="5"/>
        <v>66</v>
      </c>
      <c r="Q54" s="1">
        <f t="shared" si="5"/>
        <v>20</v>
      </c>
    </row>
    <row r="55" spans="1:17" ht="30" customHeight="1">
      <c r="A55" s="1">
        <v>14</v>
      </c>
      <c r="B55" s="1" t="s">
        <v>60</v>
      </c>
      <c r="C55" s="1">
        <f t="shared" si="3"/>
        <v>226</v>
      </c>
      <c r="D55" s="1">
        <f t="shared" si="4"/>
        <v>18</v>
      </c>
      <c r="E55" s="1">
        <f t="shared" si="4"/>
        <v>9</v>
      </c>
      <c r="F55" s="1">
        <f t="shared" si="4"/>
        <v>0</v>
      </c>
      <c r="G55" s="1">
        <f t="shared" si="4"/>
        <v>-32</v>
      </c>
      <c r="H55" s="1">
        <f t="shared" si="4"/>
        <v>-18</v>
      </c>
      <c r="I55" s="1">
        <f t="shared" si="4"/>
        <v>25</v>
      </c>
      <c r="J55" s="1">
        <f t="shared" si="4"/>
        <v>-2</v>
      </c>
      <c r="K55" s="1">
        <f t="shared" si="4"/>
        <v>-16</v>
      </c>
      <c r="L55" s="1">
        <f t="shared" si="4"/>
        <v>-6</v>
      </c>
      <c r="M55" s="1">
        <f t="shared" si="4"/>
        <v>20</v>
      </c>
      <c r="N55" s="1"/>
      <c r="O55" s="1"/>
      <c r="P55" s="1">
        <f t="shared" si="5"/>
        <v>84</v>
      </c>
      <c r="Q55" s="1">
        <f t="shared" si="5"/>
        <v>144</v>
      </c>
    </row>
    <row r="56" spans="1:17" ht="30" customHeight="1">
      <c r="A56" s="1">
        <v>15</v>
      </c>
      <c r="B56" s="1" t="s">
        <v>66</v>
      </c>
      <c r="C56" s="1">
        <f t="shared" si="3"/>
        <v>158</v>
      </c>
      <c r="D56" s="1">
        <f t="shared" si="4"/>
        <v>2</v>
      </c>
      <c r="E56" s="1">
        <f t="shared" si="4"/>
        <v>9</v>
      </c>
      <c r="F56" s="1">
        <f t="shared" si="4"/>
        <v>0</v>
      </c>
      <c r="G56" s="1">
        <f t="shared" si="4"/>
        <v>0</v>
      </c>
      <c r="H56" s="1">
        <f t="shared" si="4"/>
        <v>22</v>
      </c>
      <c r="I56" s="1">
        <f t="shared" si="4"/>
        <v>63</v>
      </c>
      <c r="J56" s="1">
        <f t="shared" si="4"/>
        <v>0</v>
      </c>
      <c r="K56" s="1">
        <f t="shared" si="4"/>
        <v>-5</v>
      </c>
      <c r="L56" s="1">
        <f t="shared" si="4"/>
        <v>3</v>
      </c>
      <c r="M56" s="1">
        <f t="shared" si="4"/>
        <v>36</v>
      </c>
      <c r="N56" s="1"/>
      <c r="O56" s="1"/>
      <c r="P56" s="1">
        <f t="shared" si="5"/>
        <v>55</v>
      </c>
      <c r="Q56" s="1">
        <f t="shared" si="5"/>
        <v>-27</v>
      </c>
    </row>
    <row r="57" spans="1:17" ht="30" customHeight="1">
      <c r="A57" s="1">
        <v>16</v>
      </c>
      <c r="B57" s="1" t="s">
        <v>87</v>
      </c>
      <c r="C57" s="1">
        <f t="shared" si="3"/>
        <v>-21</v>
      </c>
      <c r="D57" s="1">
        <f t="shared" si="4"/>
        <v>-16</v>
      </c>
      <c r="E57" s="1">
        <f t="shared" si="4"/>
        <v>-16</v>
      </c>
      <c r="F57" s="1">
        <f t="shared" si="4"/>
        <v>3</v>
      </c>
      <c r="G57" s="1">
        <f>'TP加班累計-請假總合_2025'!F18</f>
        <v>0</v>
      </c>
      <c r="H57" s="1">
        <f t="shared" ref="H57:M57" si="6">H38-H18</f>
        <v>-16</v>
      </c>
      <c r="I57" s="1">
        <f t="shared" si="6"/>
        <v>23</v>
      </c>
      <c r="J57" s="1">
        <f t="shared" si="6"/>
        <v>-32</v>
      </c>
      <c r="K57" s="1">
        <f t="shared" si="6"/>
        <v>4</v>
      </c>
      <c r="L57" s="1">
        <f t="shared" si="6"/>
        <v>-15</v>
      </c>
      <c r="M57" s="1">
        <f t="shared" si="6"/>
        <v>16</v>
      </c>
      <c r="N57" s="1"/>
      <c r="O57" s="1"/>
      <c r="P57" s="1">
        <f t="shared" si="5"/>
        <v>55</v>
      </c>
      <c r="Q57" s="1">
        <f t="shared" si="5"/>
        <v>-27</v>
      </c>
    </row>
    <row r="58" spans="1:17" s="15" customFormat="1" ht="6" customHeight="1"/>
  </sheetData>
  <mergeCells count="51">
    <mergeCell ref="P1:P2"/>
    <mergeCell ref="Q1:Q2"/>
    <mergeCell ref="P21:P22"/>
    <mergeCell ref="Q21:Q22"/>
    <mergeCell ref="P40:P41"/>
    <mergeCell ref="Q40:Q41"/>
    <mergeCell ref="H1:H2"/>
    <mergeCell ref="A1:B1"/>
    <mergeCell ref="D1:D2"/>
    <mergeCell ref="E1:E2"/>
    <mergeCell ref="F1:F2"/>
    <mergeCell ref="G1:G2"/>
    <mergeCell ref="O1:O2"/>
    <mergeCell ref="C1:C2"/>
    <mergeCell ref="R1:R2"/>
    <mergeCell ref="A21:B21"/>
    <mergeCell ref="C21:C22"/>
    <mergeCell ref="D21:D22"/>
    <mergeCell ref="E21:E22"/>
    <mergeCell ref="F21:F22"/>
    <mergeCell ref="G21:G22"/>
    <mergeCell ref="H21:H22"/>
    <mergeCell ref="I1:I2"/>
    <mergeCell ref="J1:J2"/>
    <mergeCell ref="K1:K2"/>
    <mergeCell ref="L1:L2"/>
    <mergeCell ref="M1:M2"/>
    <mergeCell ref="N1:N2"/>
    <mergeCell ref="O21:O22"/>
    <mergeCell ref="R21:R22"/>
    <mergeCell ref="A40:B40"/>
    <mergeCell ref="C40:C41"/>
    <mergeCell ref="D40:D41"/>
    <mergeCell ref="E40:E41"/>
    <mergeCell ref="F40:F41"/>
    <mergeCell ref="G40:G41"/>
    <mergeCell ref="H40:H41"/>
    <mergeCell ref="I40:I41"/>
    <mergeCell ref="I21:I22"/>
    <mergeCell ref="J21:J22"/>
    <mergeCell ref="K21:K22"/>
    <mergeCell ref="L21:L22"/>
    <mergeCell ref="M21:M22"/>
    <mergeCell ref="N21:N22"/>
    <mergeCell ref="R40:R41"/>
    <mergeCell ref="J40:J41"/>
    <mergeCell ref="K40:K41"/>
    <mergeCell ref="L40:L41"/>
    <mergeCell ref="M40:M41"/>
    <mergeCell ref="N40:N41"/>
    <mergeCell ref="O40:O4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displayXAxis="1" xr2:uid="{00000000-0003-0000-0000-000004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'2025分析表'!D3:M3</xm:f>
              <xm:sqref>R3</xm:sqref>
            </x14:sparkline>
            <x14:sparkline>
              <xm:f>'2025分析表'!D4:M4</xm:f>
              <xm:sqref>R4</xm:sqref>
            </x14:sparkline>
            <x14:sparkline>
              <xm:f>'2025分析表'!D5:M5</xm:f>
              <xm:sqref>R5</xm:sqref>
            </x14:sparkline>
            <x14:sparkline>
              <xm:f>'2025分析表'!D6:M6</xm:f>
              <xm:sqref>R6</xm:sqref>
            </x14:sparkline>
            <x14:sparkline>
              <xm:f>'2025分析表'!D7:M7</xm:f>
              <xm:sqref>R7</xm:sqref>
            </x14:sparkline>
            <x14:sparkline>
              <xm:f>'2025分析表'!D8:M8</xm:f>
              <xm:sqref>R8</xm:sqref>
            </x14:sparkline>
            <x14:sparkline>
              <xm:f>'2025分析表'!D9:M9</xm:f>
              <xm:sqref>R9</xm:sqref>
            </x14:sparkline>
            <x14:sparkline>
              <xm:f>'2025分析表'!D10:M10</xm:f>
              <xm:sqref>R10</xm:sqref>
            </x14:sparkline>
            <x14:sparkline>
              <xm:f>'2025分析表'!D11:M11</xm:f>
              <xm:sqref>R11</xm:sqref>
            </x14:sparkline>
            <x14:sparkline>
              <xm:f>'2025分析表'!D12:M12</xm:f>
              <xm:sqref>R12</xm:sqref>
            </x14:sparkline>
            <x14:sparkline>
              <xm:f>'2025分析表'!D13:M13</xm:f>
              <xm:sqref>R13</xm:sqref>
            </x14:sparkline>
            <x14:sparkline>
              <xm:f>'2025分析表'!D14:M14</xm:f>
              <xm:sqref>R14</xm:sqref>
            </x14:sparkline>
            <x14:sparkline>
              <xm:f>'2025分析表'!D15:M15</xm:f>
              <xm:sqref>R15</xm:sqref>
            </x14:sparkline>
            <x14:sparkline>
              <xm:f>'2025分析表'!D16:M16</xm:f>
              <xm:sqref>R16</xm:sqref>
            </x14:sparkline>
            <x14:sparkline>
              <xm:f>'2025分析表'!D17:M17</xm:f>
              <xm:sqref>R17</xm:sqref>
            </x14:sparkline>
            <x14:sparkline>
              <xm:f>'2025分析表'!D18:M18</xm:f>
              <xm:sqref>R18</xm:sqref>
            </x14:sparkline>
            <x14:sparkline>
              <xm:f>'2025分析表'!D19:M19</xm:f>
              <xm:sqref>R19</xm:sqref>
            </x14:sparkline>
          </x14:sparklines>
        </x14:sparklineGroup>
        <x14:sparklineGroup manualMax="0" manualMin="0" type="column" displayEmptyCellsAs="gap" displayXAxis="1" xr2:uid="{00000000-0003-0000-0000-000003000000}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'2025分析表'!D24:M24</xm:f>
              <xm:sqref>R24</xm:sqref>
            </x14:sparkline>
            <x14:sparkline>
              <xm:f>'2025分析表'!D25:M25</xm:f>
              <xm:sqref>R25</xm:sqref>
            </x14:sparkline>
            <x14:sparkline>
              <xm:f>'2025分析表'!D26:M26</xm:f>
              <xm:sqref>R26</xm:sqref>
            </x14:sparkline>
            <x14:sparkline>
              <xm:f>'2025分析表'!D27:M27</xm:f>
              <xm:sqref>R27</xm:sqref>
            </x14:sparkline>
            <x14:sparkline>
              <xm:f>'2025分析表'!D28:M28</xm:f>
              <xm:sqref>R28</xm:sqref>
            </x14:sparkline>
            <x14:sparkline>
              <xm:f>'2025分析表'!D29:M29</xm:f>
              <xm:sqref>R29</xm:sqref>
            </x14:sparkline>
            <x14:sparkline>
              <xm:f>'2025分析表'!D30:M30</xm:f>
              <xm:sqref>R30</xm:sqref>
            </x14:sparkline>
            <x14:sparkline>
              <xm:f>'2025分析表'!D31:M31</xm:f>
              <xm:sqref>R31</xm:sqref>
            </x14:sparkline>
            <x14:sparkline>
              <xm:f>'2025分析表'!D32:M32</xm:f>
              <xm:sqref>R32</xm:sqref>
            </x14:sparkline>
            <x14:sparkline>
              <xm:f>'2025分析表'!D33:M33</xm:f>
              <xm:sqref>R33</xm:sqref>
            </x14:sparkline>
            <x14:sparkline>
              <xm:f>'2025分析表'!D34:M34</xm:f>
              <xm:sqref>R34</xm:sqref>
            </x14:sparkline>
            <x14:sparkline>
              <xm:f>'2025分析表'!D35:M35</xm:f>
              <xm:sqref>R35</xm:sqref>
            </x14:sparkline>
            <x14:sparkline>
              <xm:f>'2025分析表'!D36:M36</xm:f>
              <xm:sqref>R36</xm:sqref>
            </x14:sparkline>
            <x14:sparkline>
              <xm:f>'2025分析表'!D37:M37</xm:f>
              <xm:sqref>R37</xm:sqref>
            </x14:sparkline>
            <x14:sparkline>
              <xm:f>'2025分析表'!D38:M38</xm:f>
              <xm:sqref>R38</xm:sqref>
            </x14:sparkline>
          </x14:sparklines>
        </x14:sparklineGroup>
        <x14:sparklineGroup manualMax="0" manualMin="0" type="column" displayEmptyCellsAs="gap" displayXAxis="1" xr2:uid="{00000000-0003-0000-0000-000002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'2025分析表'!D23:M23</xm:f>
              <xm:sqref>R23</xm:sqref>
            </x14:sparkline>
          </x14:sparklines>
        </x14:sparklineGroup>
        <x14:sparklineGroup manualMax="0" manualMin="0" type="column" displayEmptyCellsAs="gap" displayXAxis="1" xr2:uid="{00000000-0003-0000-0000-000001000000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'2025分析表'!D42:M42</xm:f>
              <xm:sqref>R42</xm:sqref>
            </x14:sparkline>
          </x14:sparklines>
        </x14:sparklineGroup>
        <x14:sparklineGroup manualMax="0" manualMin="0" type="column" displayEmptyCellsAs="gap" displayXAxis="1" xr2:uid="{00000000-0003-0000-0000-000000000000}">
          <x14:colorSeries theme="4"/>
          <x14:colorNegative theme="5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'2025分析表'!D43:M43</xm:f>
              <xm:sqref>R43</xm:sqref>
            </x14:sparkline>
            <x14:sparkline>
              <xm:f>'2025分析表'!D44:M44</xm:f>
              <xm:sqref>R44</xm:sqref>
            </x14:sparkline>
            <x14:sparkline>
              <xm:f>'2025分析表'!D45:M45</xm:f>
              <xm:sqref>R45</xm:sqref>
            </x14:sparkline>
            <x14:sparkline>
              <xm:f>'2025分析表'!D46:M46</xm:f>
              <xm:sqref>R46</xm:sqref>
            </x14:sparkline>
            <x14:sparkline>
              <xm:f>'2025分析表'!D47:M47</xm:f>
              <xm:sqref>R47</xm:sqref>
            </x14:sparkline>
            <x14:sparkline>
              <xm:f>'2025分析表'!D48:M48</xm:f>
              <xm:sqref>R48</xm:sqref>
            </x14:sparkline>
            <x14:sparkline>
              <xm:f>'2025分析表'!D49:M49</xm:f>
              <xm:sqref>R49</xm:sqref>
            </x14:sparkline>
            <x14:sparkline>
              <xm:f>'2025分析表'!D50:M50</xm:f>
              <xm:sqref>R50</xm:sqref>
            </x14:sparkline>
            <x14:sparkline>
              <xm:f>'2025分析表'!D51:M51</xm:f>
              <xm:sqref>R51</xm:sqref>
            </x14:sparkline>
            <x14:sparkline>
              <xm:f>'2025分析表'!D52:M52</xm:f>
              <xm:sqref>R52</xm:sqref>
            </x14:sparkline>
            <x14:sparkline>
              <xm:f>'2025分析表'!D53:M53</xm:f>
              <xm:sqref>R53</xm:sqref>
            </x14:sparkline>
            <x14:sparkline>
              <xm:f>'2025分析表'!D54:M54</xm:f>
              <xm:sqref>R54</xm:sqref>
            </x14:sparkline>
            <x14:sparkline>
              <xm:f>'2025分析表'!D55:M55</xm:f>
              <xm:sqref>R55</xm:sqref>
            </x14:sparkline>
            <x14:sparkline>
              <xm:f>'2025分析表'!D56:M56</xm:f>
              <xm:sqref>R56</xm:sqref>
            </x14:sparkline>
            <x14:sparkline>
              <xm:f>'2025分析表'!D57:M57</xm:f>
              <xm:sqref>R57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D22"/>
  <sheetViews>
    <sheetView zoomScale="85" zoomScaleNormal="85" workbookViewId="0">
      <selection activeCell="U9" sqref="U9"/>
    </sheetView>
  </sheetViews>
  <sheetFormatPr baseColWidth="10" defaultColWidth="8.83203125" defaultRowHeight="15"/>
  <cols>
    <col min="1" max="2" width="15.83203125" customWidth="1"/>
    <col min="3" max="13" width="19.83203125" hidden="1" customWidth="1"/>
    <col min="14" max="14" width="19.83203125" customWidth="1"/>
    <col min="15" max="15" width="17.33203125" customWidth="1"/>
    <col min="16" max="16" width="22.5" hidden="1" customWidth="1"/>
    <col min="17" max="17" width="0" hidden="1" customWidth="1"/>
    <col min="18" max="18" width="28" customWidth="1"/>
    <col min="19" max="19" width="21.83203125" customWidth="1"/>
    <col min="20" max="20" width="5.1640625" customWidth="1"/>
    <col min="21" max="21" width="15.6640625" customWidth="1"/>
    <col min="22" max="22" width="5.1640625" customWidth="1"/>
    <col min="23" max="23" width="15.6640625" customWidth="1"/>
    <col min="24" max="24" width="5.1640625" customWidth="1"/>
    <col min="25" max="25" width="15.6640625" customWidth="1"/>
    <col min="26" max="26" width="5.1640625" customWidth="1"/>
    <col min="27" max="27" width="15.6640625" customWidth="1"/>
    <col min="28" max="28" width="5.1640625" customWidth="1"/>
    <col min="29" max="29" width="15.6640625" customWidth="1"/>
    <col min="30" max="30" width="5.1640625" customWidth="1"/>
  </cols>
  <sheetData>
    <row r="1" spans="1:30" ht="35.5" customHeight="1" thickTop="1" thickBot="1">
      <c r="A1" s="62" t="s">
        <v>20</v>
      </c>
      <c r="B1" s="63"/>
      <c r="C1" s="64" t="s">
        <v>97</v>
      </c>
      <c r="D1" s="64" t="s">
        <v>96</v>
      </c>
      <c r="E1" s="64" t="s">
        <v>95</v>
      </c>
      <c r="F1" s="64" t="s">
        <v>37</v>
      </c>
      <c r="G1" s="64" t="s">
        <v>39</v>
      </c>
      <c r="H1" s="64" t="s">
        <v>54</v>
      </c>
      <c r="I1" s="64" t="s">
        <v>55</v>
      </c>
      <c r="J1" s="64" t="s">
        <v>82</v>
      </c>
      <c r="K1" s="64" t="s">
        <v>83</v>
      </c>
      <c r="L1" s="64" t="s">
        <v>84</v>
      </c>
      <c r="M1" s="64" t="s">
        <v>85</v>
      </c>
      <c r="N1" s="64" t="s">
        <v>86</v>
      </c>
      <c r="O1" s="48" t="s">
        <v>99</v>
      </c>
      <c r="P1" t="s">
        <v>126</v>
      </c>
      <c r="R1" s="66" t="s">
        <v>151</v>
      </c>
      <c r="S1" s="53" t="s">
        <v>163</v>
      </c>
      <c r="T1" s="54"/>
      <c r="U1" s="53" t="s">
        <v>170</v>
      </c>
      <c r="V1" s="54"/>
      <c r="W1" s="53" t="s">
        <v>171</v>
      </c>
      <c r="X1" s="54"/>
      <c r="Y1" s="53" t="s">
        <v>175</v>
      </c>
      <c r="Z1" s="54"/>
      <c r="AA1" s="53" t="s">
        <v>176</v>
      </c>
      <c r="AB1" s="54"/>
      <c r="AC1" s="53" t="s">
        <v>177</v>
      </c>
      <c r="AD1" s="54"/>
    </row>
    <row r="2" spans="1:30" ht="16.25" customHeight="1" thickBot="1">
      <c r="A2" s="1" t="s">
        <v>1</v>
      </c>
      <c r="B2" s="1" t="s">
        <v>2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49"/>
      <c r="R2" s="67"/>
      <c r="S2" s="39" t="s">
        <v>149</v>
      </c>
      <c r="T2" s="39" t="s">
        <v>150</v>
      </c>
      <c r="U2" s="39" t="s">
        <v>149</v>
      </c>
      <c r="V2" s="39" t="s">
        <v>150</v>
      </c>
      <c r="W2" s="39" t="s">
        <v>149</v>
      </c>
      <c r="X2" s="39" t="s">
        <v>150</v>
      </c>
      <c r="Y2" s="39" t="s">
        <v>149</v>
      </c>
      <c r="Z2" s="39" t="s">
        <v>150</v>
      </c>
      <c r="AA2" s="39" t="s">
        <v>149</v>
      </c>
      <c r="AB2" s="39" t="s">
        <v>150</v>
      </c>
      <c r="AC2" s="39" t="s">
        <v>149</v>
      </c>
      <c r="AD2" s="39" t="s">
        <v>150</v>
      </c>
    </row>
    <row r="3" spans="1:30" ht="16" thickBot="1">
      <c r="A3" s="1">
        <v>1</v>
      </c>
      <c r="B3" s="1" t="s">
        <v>3</v>
      </c>
      <c r="C3" s="1">
        <f>TP1月份加班!C3-TP1月份請假!C3</f>
        <v>0</v>
      </c>
      <c r="D3" s="1">
        <f>TP2月份加班!C3-TP2月份請假!C3</f>
        <v>0</v>
      </c>
      <c r="E3" s="1">
        <f>TP3月份加班!C3-TP3月份請假!C3</f>
        <v>0</v>
      </c>
      <c r="F3" s="1">
        <f>TP4月份加班!C3-TP4月份請假!C3</f>
        <v>0</v>
      </c>
      <c r="G3" s="1">
        <f>TP5月份加班!C3-TP5月份請假!C3</f>
        <v>0</v>
      </c>
      <c r="H3" s="1">
        <f>TP6月份加班!C3-TP6月份請假!C3</f>
        <v>0</v>
      </c>
      <c r="I3" s="1">
        <f>TP7月份加班!C3-TP7月份請假!C3</f>
        <v>0</v>
      </c>
      <c r="J3" s="1">
        <f>TP8月份加班!C3-TP8月份請假!C3</f>
        <v>0</v>
      </c>
      <c r="K3" s="1">
        <f>TP9月份加班!C3-TP9月份請假!C3</f>
        <v>0</v>
      </c>
      <c r="L3" s="1">
        <f>TP10月份加班!C3-TP10月份請假!C3</f>
        <v>0</v>
      </c>
      <c r="M3" s="1">
        <f>TP11月份加班!C3-TP11月份請假!C3</f>
        <v>0</v>
      </c>
      <c r="N3" s="1">
        <f>TP12月份加班!C3-TP12月份請假!C3</f>
        <v>0</v>
      </c>
      <c r="O3" s="1">
        <f>SUM(C3:N3)+P3</f>
        <v>0</v>
      </c>
      <c r="P3" s="4">
        <v>0</v>
      </c>
      <c r="Q3">
        <f>O3+P3</f>
        <v>0</v>
      </c>
      <c r="R3" s="40">
        <f>O3-S3-U3-W3-Y3-AA3-AC3</f>
        <v>0</v>
      </c>
      <c r="S3" s="39">
        <f t="shared" ref="S3:S8" si="0">T3*2</f>
        <v>0</v>
      </c>
      <c r="T3" s="39">
        <v>0</v>
      </c>
      <c r="U3" s="39">
        <v>0</v>
      </c>
      <c r="V3" s="39">
        <f>U3*0.5</f>
        <v>0</v>
      </c>
      <c r="W3" s="39">
        <v>0</v>
      </c>
      <c r="X3" s="39">
        <f>W3*0.5</f>
        <v>0</v>
      </c>
      <c r="Y3" s="39">
        <v>0</v>
      </c>
      <c r="Z3" s="39">
        <f>Y3*0.5</f>
        <v>0</v>
      </c>
      <c r="AA3" s="39">
        <v>0</v>
      </c>
      <c r="AB3" s="39">
        <f>AA3*0.5</f>
        <v>0</v>
      </c>
      <c r="AC3" s="39">
        <v>0</v>
      </c>
      <c r="AD3" s="39">
        <f>AC3*0.5</f>
        <v>0</v>
      </c>
    </row>
    <row r="4" spans="1:30" ht="16" thickBot="1">
      <c r="A4" s="1">
        <v>2</v>
      </c>
      <c r="B4" s="1" t="s">
        <v>4</v>
      </c>
      <c r="C4" s="1">
        <f>TP1月份加班!C4-TP1月份請假!C4</f>
        <v>-10</v>
      </c>
      <c r="D4" s="1">
        <f>TP2月份加班!C4-TP2月份請假!C4</f>
        <v>0</v>
      </c>
      <c r="E4" s="1">
        <f>TP3月份加班!C4-TP3月份請假!C4</f>
        <v>34</v>
      </c>
      <c r="F4" s="1">
        <f>TP4月份加班!C4-TP4月份請假!C4</f>
        <v>-3</v>
      </c>
      <c r="G4" s="1">
        <f>TP5月份加班!C4-TP5月份請假!C4</f>
        <v>15</v>
      </c>
      <c r="H4" s="1">
        <f>TP6月份加班!C4-TP6月份請假!C4</f>
        <v>2</v>
      </c>
      <c r="I4" s="1">
        <f>TP7月份加班!C4-TP7月份請假!C4</f>
        <v>-5</v>
      </c>
      <c r="J4" s="1">
        <f>TP8月份加班!C4-TP8月份請假!C4</f>
        <v>-17</v>
      </c>
      <c r="K4" s="1">
        <f>TP9月份加班!C4-TP9月份請假!C4</f>
        <v>-2</v>
      </c>
      <c r="L4" s="1">
        <f>TP10月份加班!C4-TP10月份請假!C4</f>
        <v>-25</v>
      </c>
      <c r="M4" s="1">
        <f>TP11月份加班!C4-TP11月份請假!C4</f>
        <v>-8</v>
      </c>
      <c r="N4" s="1">
        <f>TP12月份加班!C4-TP12月份請假!C4</f>
        <v>-4</v>
      </c>
      <c r="O4" s="1">
        <f t="shared" ref="O4:O20" si="1">SUM(C4:N4)+P4</f>
        <v>-23</v>
      </c>
      <c r="P4" s="4">
        <v>0</v>
      </c>
      <c r="Q4">
        <f t="shared" ref="Q4:Q19" si="2">O4+P4</f>
        <v>-23</v>
      </c>
      <c r="R4" s="40">
        <f t="shared" ref="R4:R20" si="3">O4-S4-U4-W4-Y4-AA4-AC4</f>
        <v>-23</v>
      </c>
      <c r="S4" s="39">
        <f t="shared" si="0"/>
        <v>0</v>
      </c>
      <c r="T4" s="39">
        <v>0</v>
      </c>
      <c r="U4" s="39">
        <v>0</v>
      </c>
      <c r="V4" s="39">
        <f t="shared" ref="V4:V20" si="4">U4*0.5</f>
        <v>0</v>
      </c>
      <c r="W4" s="39">
        <v>0</v>
      </c>
      <c r="X4" s="39">
        <f t="shared" ref="X4:X20" si="5">W4*0.5</f>
        <v>0</v>
      </c>
      <c r="Y4" s="39">
        <v>0</v>
      </c>
      <c r="Z4" s="39">
        <f t="shared" ref="Z4:Z20" si="6">Y4*0.5</f>
        <v>0</v>
      </c>
      <c r="AA4" s="39">
        <v>0</v>
      </c>
      <c r="AB4" s="39">
        <f t="shared" ref="AB4:AB20" si="7">AA4*0.5</f>
        <v>0</v>
      </c>
      <c r="AC4" s="39">
        <v>0</v>
      </c>
      <c r="AD4" s="39">
        <f t="shared" ref="AD4:AD20" si="8">AC4*0.5</f>
        <v>0</v>
      </c>
    </row>
    <row r="5" spans="1:30" ht="16" thickBot="1">
      <c r="A5" s="1">
        <v>3</v>
      </c>
      <c r="B5" s="1" t="s">
        <v>5</v>
      </c>
      <c r="C5" s="1">
        <f>TP1月份加班!C5-TP1月份請假!C5</f>
        <v>0</v>
      </c>
      <c r="D5" s="1">
        <f>TP2月份加班!C5-TP2月份請假!C5</f>
        <v>4</v>
      </c>
      <c r="E5" s="1">
        <f>TP3月份加班!C5-TP3月份請假!C5</f>
        <v>0</v>
      </c>
      <c r="F5" s="1">
        <f>TP4月份加班!C5-TP4月份請假!C5</f>
        <v>-3</v>
      </c>
      <c r="G5" s="1">
        <f>TP5月份加班!C5-TP5月份請假!C5</f>
        <v>-2</v>
      </c>
      <c r="H5" s="1">
        <f>TP6月份加班!C5-TP6月份請假!C5</f>
        <v>-10</v>
      </c>
      <c r="I5" s="1">
        <f>TP7月份加班!C5-TP7月份請假!C5</f>
        <v>-13</v>
      </c>
      <c r="J5" s="1">
        <f>TP8月份加班!C5-TP8月份請假!C5</f>
        <v>-1</v>
      </c>
      <c r="K5" s="1">
        <f>TP9月份加班!C5-TP9月份請假!C5</f>
        <v>-2</v>
      </c>
      <c r="L5" s="1">
        <f>TP10月份加班!C5-TP10月份請假!C5</f>
        <v>-8</v>
      </c>
      <c r="M5" s="1">
        <f>TP11月份加班!C5-TP11月份請假!C5</f>
        <v>0</v>
      </c>
      <c r="N5" s="1">
        <f>TP12月份加班!C5-TP12月份請假!C5</f>
        <v>0</v>
      </c>
      <c r="O5" s="1">
        <f t="shared" si="1"/>
        <v>-88</v>
      </c>
      <c r="P5" s="4">
        <v>-53</v>
      </c>
      <c r="Q5">
        <f t="shared" si="2"/>
        <v>-141</v>
      </c>
      <c r="R5" s="40">
        <f t="shared" si="3"/>
        <v>-88</v>
      </c>
      <c r="S5" s="39">
        <f t="shared" si="0"/>
        <v>0</v>
      </c>
      <c r="T5" s="39">
        <v>0</v>
      </c>
      <c r="U5" s="39">
        <v>0</v>
      </c>
      <c r="V5" s="39">
        <f t="shared" si="4"/>
        <v>0</v>
      </c>
      <c r="W5" s="39">
        <v>0</v>
      </c>
      <c r="X5" s="39">
        <f t="shared" si="5"/>
        <v>0</v>
      </c>
      <c r="Y5" s="39">
        <v>0</v>
      </c>
      <c r="Z5" s="39">
        <f t="shared" si="6"/>
        <v>0</v>
      </c>
      <c r="AA5" s="39">
        <v>0</v>
      </c>
      <c r="AB5" s="39">
        <f t="shared" si="7"/>
        <v>0</v>
      </c>
      <c r="AC5" s="39">
        <v>0</v>
      </c>
      <c r="AD5" s="39">
        <f t="shared" si="8"/>
        <v>0</v>
      </c>
    </row>
    <row r="6" spans="1:30" ht="16" thickBot="1">
      <c r="A6" s="1">
        <v>4</v>
      </c>
      <c r="B6" s="1" t="s">
        <v>6</v>
      </c>
      <c r="C6" s="1">
        <f>TP1月份加班!C6-TP1月份請假!C6</f>
        <v>4</v>
      </c>
      <c r="D6" s="1">
        <f>TP2月份加班!C6-TP2月份請假!C6</f>
        <v>-14</v>
      </c>
      <c r="E6" s="1">
        <f>TP3月份加班!C6-TP3月份請假!C6</f>
        <v>-11</v>
      </c>
      <c r="F6" s="1">
        <f>TP4月份加班!C6-TP4月份請假!C6</f>
        <v>37</v>
      </c>
      <c r="G6" s="1">
        <f>TP5月份加班!C6-TP5月份請假!C6</f>
        <v>2</v>
      </c>
      <c r="H6" s="1">
        <f>TP6月份加班!C6-TP6月份請假!C6</f>
        <v>-14</v>
      </c>
      <c r="I6" s="1">
        <f>TP7月份加班!C6-TP7月份請假!C6</f>
        <v>3</v>
      </c>
      <c r="J6" s="1">
        <f>TP8月份加班!C6-TP8月份請假!C6</f>
        <v>9</v>
      </c>
      <c r="K6" s="1">
        <f>TP9月份加班!C6-TP9月份請假!C6</f>
        <v>6</v>
      </c>
      <c r="L6" s="1">
        <f>TP10月份加班!C6-TP10月份請假!C6</f>
        <v>-32</v>
      </c>
      <c r="M6" s="1">
        <f>TP11月份加班!C6-TP11月份請假!C6</f>
        <v>20</v>
      </c>
      <c r="N6" s="1">
        <f>TP12月份加班!C6-TP12月份請假!C6</f>
        <v>-4</v>
      </c>
      <c r="O6" s="1">
        <f t="shared" si="1"/>
        <v>3</v>
      </c>
      <c r="P6" s="4">
        <v>-3</v>
      </c>
      <c r="Q6">
        <f t="shared" si="2"/>
        <v>0</v>
      </c>
      <c r="R6" s="40">
        <f t="shared" si="3"/>
        <v>3</v>
      </c>
      <c r="S6" s="39">
        <f t="shared" si="0"/>
        <v>0</v>
      </c>
      <c r="T6" s="39">
        <v>0</v>
      </c>
      <c r="U6" s="39">
        <v>0</v>
      </c>
      <c r="V6" s="39">
        <f t="shared" si="4"/>
        <v>0</v>
      </c>
      <c r="W6" s="39">
        <v>0</v>
      </c>
      <c r="X6" s="39">
        <f t="shared" si="5"/>
        <v>0</v>
      </c>
      <c r="Y6" s="39">
        <v>0</v>
      </c>
      <c r="Z6" s="39">
        <f t="shared" si="6"/>
        <v>0</v>
      </c>
      <c r="AA6" s="39">
        <v>0</v>
      </c>
      <c r="AB6" s="39">
        <f t="shared" si="7"/>
        <v>0</v>
      </c>
      <c r="AC6" s="39">
        <v>0</v>
      </c>
      <c r="AD6" s="39">
        <f t="shared" si="8"/>
        <v>0</v>
      </c>
    </row>
    <row r="7" spans="1:30" ht="16" thickBot="1">
      <c r="A7" s="1">
        <v>5</v>
      </c>
      <c r="B7" s="1" t="s">
        <v>7</v>
      </c>
      <c r="C7" s="1">
        <f>TP1月份加班!C7-TP1月份請假!C7</f>
        <v>2</v>
      </c>
      <c r="D7" s="1">
        <f>TP2月份加班!C7-TP2月份請假!C7</f>
        <v>0</v>
      </c>
      <c r="E7" s="1">
        <f>TP3月份加班!C7-TP3月份請假!C7</f>
        <v>21</v>
      </c>
      <c r="F7" s="1">
        <f>TP4月份加班!C7-TP4月份請假!C7</f>
        <v>-6</v>
      </c>
      <c r="G7" s="1">
        <f>TP5月份加班!C7-TP5月份請假!C7</f>
        <v>53</v>
      </c>
      <c r="H7" s="1">
        <f>TP6月份加班!C7-TP6月份請假!C7</f>
        <v>67</v>
      </c>
      <c r="I7" s="1">
        <f>TP7月份加班!C7-TP7月份請假!C7</f>
        <v>-32</v>
      </c>
      <c r="J7" s="1">
        <f>TP8月份加班!C7-TP8月份請假!C7</f>
        <v>38</v>
      </c>
      <c r="K7" s="1">
        <f>TP9月份加班!C7-TP9月份請假!C7</f>
        <v>94</v>
      </c>
      <c r="L7" s="1">
        <f>TP10月份加班!C7-TP10月份請假!C7</f>
        <v>73</v>
      </c>
      <c r="M7" s="1">
        <f>TP11月份加班!C7-TP11月份請假!C7</f>
        <v>40</v>
      </c>
      <c r="N7" s="1">
        <f>TP12月份加班!C7-TP12月份請假!C7</f>
        <v>96</v>
      </c>
      <c r="O7" s="1">
        <f t="shared" si="1"/>
        <v>422</v>
      </c>
      <c r="P7" s="4">
        <v>-24</v>
      </c>
      <c r="Q7">
        <f t="shared" si="2"/>
        <v>398</v>
      </c>
      <c r="R7" s="42">
        <f>O7-S7-U7-W7-Y7-AA7-AC7</f>
        <v>-5.8000000000000114</v>
      </c>
      <c r="S7" s="39">
        <f t="shared" si="0"/>
        <v>106.8</v>
      </c>
      <c r="T7" s="39">
        <v>53.4</v>
      </c>
      <c r="U7" s="39">
        <v>32</v>
      </c>
      <c r="V7" s="39">
        <f t="shared" si="4"/>
        <v>16</v>
      </c>
      <c r="W7" s="39">
        <v>88</v>
      </c>
      <c r="X7" s="39">
        <f t="shared" si="5"/>
        <v>44</v>
      </c>
      <c r="Y7" s="39">
        <v>65</v>
      </c>
      <c r="Z7" s="39">
        <f t="shared" si="6"/>
        <v>32.5</v>
      </c>
      <c r="AA7" s="39">
        <v>48</v>
      </c>
      <c r="AB7" s="39">
        <f t="shared" si="7"/>
        <v>24</v>
      </c>
      <c r="AC7" s="39">
        <v>88</v>
      </c>
      <c r="AD7" s="39">
        <f t="shared" si="8"/>
        <v>44</v>
      </c>
    </row>
    <row r="8" spans="1:30" ht="16" thickBot="1">
      <c r="A8" s="1">
        <v>6</v>
      </c>
      <c r="B8" s="1" t="s">
        <v>8</v>
      </c>
      <c r="C8" s="1">
        <f>TP1月份加班!C8-TP1月份請假!C8</f>
        <v>-25</v>
      </c>
      <c r="D8" s="1">
        <f>TP2月份加班!C8-TP2月份請假!C8</f>
        <v>-12</v>
      </c>
      <c r="E8" s="1">
        <f>TP3月份加班!C8-TP3月份請假!C8</f>
        <v>8</v>
      </c>
      <c r="F8" s="1">
        <f>TP4月份加班!C8-TP4月份請假!C8</f>
        <v>0</v>
      </c>
      <c r="G8" s="1">
        <f>TP5月份加班!C8-TP5月份請假!C8</f>
        <v>45</v>
      </c>
      <c r="H8" s="1">
        <f>TP6月份加班!C8-TP6月份請假!C8</f>
        <v>98</v>
      </c>
      <c r="I8" s="1">
        <f>TP7月份加班!C8-TP7月份請假!C8</f>
        <v>-41</v>
      </c>
      <c r="J8" s="1">
        <f>TP8月份加班!C8-TP8月份請假!C8</f>
        <v>45</v>
      </c>
      <c r="K8" s="1">
        <f>TP9月份加班!C8-TP9月份請假!C8</f>
        <v>0</v>
      </c>
      <c r="L8" s="1">
        <f>TP10月份加班!C8-TP10月份請假!C8</f>
        <v>-34</v>
      </c>
      <c r="M8" s="1">
        <f>TP11月份加班!C8-TP11月份請假!C8</f>
        <v>4</v>
      </c>
      <c r="N8" s="1">
        <f>TP12月份加班!C8-TP12月份請假!C8</f>
        <v>12</v>
      </c>
      <c r="O8" s="1">
        <f t="shared" si="1"/>
        <v>129</v>
      </c>
      <c r="P8" s="4">
        <v>29</v>
      </c>
      <c r="Q8">
        <f t="shared" si="2"/>
        <v>158</v>
      </c>
      <c r="R8" s="42">
        <f t="shared" si="3"/>
        <v>6.5999999999999943</v>
      </c>
      <c r="S8" s="39">
        <f t="shared" si="0"/>
        <v>82.4</v>
      </c>
      <c r="T8" s="39">
        <v>41.2</v>
      </c>
      <c r="U8" s="39">
        <v>32</v>
      </c>
      <c r="V8" s="39">
        <f t="shared" si="4"/>
        <v>16</v>
      </c>
      <c r="W8" s="39">
        <v>8</v>
      </c>
      <c r="X8" s="39">
        <f t="shared" si="5"/>
        <v>4</v>
      </c>
      <c r="Y8" s="39">
        <v>0</v>
      </c>
      <c r="Z8" s="39">
        <f t="shared" si="6"/>
        <v>0</v>
      </c>
      <c r="AA8" s="39">
        <v>0</v>
      </c>
      <c r="AB8" s="39">
        <f t="shared" si="7"/>
        <v>0</v>
      </c>
      <c r="AC8" s="39">
        <v>0</v>
      </c>
      <c r="AD8" s="39">
        <f t="shared" si="8"/>
        <v>0</v>
      </c>
    </row>
    <row r="9" spans="1:30" ht="16" thickBot="1">
      <c r="A9" s="1">
        <v>7</v>
      </c>
      <c r="B9" s="1" t="s">
        <v>9</v>
      </c>
      <c r="C9" s="1">
        <f>TP1月份加班!C9-TP1月份請假!C9</f>
        <v>-18</v>
      </c>
      <c r="D9" s="1">
        <f>TP2月份加班!C9-TP2月份請假!C9</f>
        <v>-24</v>
      </c>
      <c r="E9" s="1">
        <f>TP3月份加班!C9-TP3月份請假!C9</f>
        <v>16</v>
      </c>
      <c r="F9" s="1">
        <f>TP4月份加班!C9-TP4月份請假!C9</f>
        <v>21</v>
      </c>
      <c r="G9" s="1">
        <f>TP5月份加班!C9-TP5月份請假!C9</f>
        <v>20</v>
      </c>
      <c r="H9" s="1">
        <f>TP6月份加班!C9-TP6月份請假!C9</f>
        <v>-1</v>
      </c>
      <c r="I9" s="1">
        <f>TP7月份加班!C9-TP7月份請假!C9</f>
        <v>-8</v>
      </c>
      <c r="J9" s="1">
        <f>TP8月份加班!C9-TP8月份請假!C9</f>
        <v>-22</v>
      </c>
      <c r="K9" s="1">
        <f>TP9月份加班!C9-TP9月份請假!C9</f>
        <v>6</v>
      </c>
      <c r="L9" s="1">
        <f>TP10月份加班!C9-TP10月份請假!C9</f>
        <v>-10</v>
      </c>
      <c r="M9" s="1">
        <f>TP11月份加班!C9-TP11月份請假!C9</f>
        <v>-22</v>
      </c>
      <c r="N9" s="1">
        <f>TP12月份加班!C9-TP12月份請假!C9</f>
        <v>-21</v>
      </c>
      <c r="O9" s="1">
        <f t="shared" si="1"/>
        <v>-57</v>
      </c>
      <c r="P9" s="4">
        <v>6</v>
      </c>
      <c r="Q9">
        <f t="shared" si="2"/>
        <v>-51</v>
      </c>
      <c r="R9" s="40">
        <f t="shared" si="3"/>
        <v>-57</v>
      </c>
      <c r="S9" s="39">
        <f t="shared" ref="S9:S20" si="9">T9*2</f>
        <v>0</v>
      </c>
      <c r="T9" s="39">
        <v>0</v>
      </c>
      <c r="U9" s="39">
        <v>0</v>
      </c>
      <c r="V9" s="39">
        <f t="shared" si="4"/>
        <v>0</v>
      </c>
      <c r="W9" s="39">
        <v>0</v>
      </c>
      <c r="X9" s="39">
        <f t="shared" si="5"/>
        <v>0</v>
      </c>
      <c r="Y9" s="39">
        <v>0</v>
      </c>
      <c r="Z9" s="39">
        <f t="shared" si="6"/>
        <v>0</v>
      </c>
      <c r="AA9" s="39">
        <v>0</v>
      </c>
      <c r="AB9" s="39">
        <f t="shared" si="7"/>
        <v>0</v>
      </c>
      <c r="AC9" s="39">
        <v>0</v>
      </c>
      <c r="AD9" s="39">
        <f t="shared" si="8"/>
        <v>0</v>
      </c>
    </row>
    <row r="10" spans="1:30" ht="16" thickBot="1">
      <c r="A10" s="1">
        <v>8</v>
      </c>
      <c r="B10" s="1" t="s">
        <v>10</v>
      </c>
      <c r="C10" s="1">
        <f>TP1月份加班!C10-TP1月份請假!C10</f>
        <v>0</v>
      </c>
      <c r="D10" s="1">
        <f>TP2月份加班!C10-TP2月份請假!C10</f>
        <v>0</v>
      </c>
      <c r="E10" s="1">
        <f>TP3月份加班!C10-TP3月份請假!C10</f>
        <v>0</v>
      </c>
      <c r="F10" s="1">
        <f>TP4月份加班!C10-TP4月份請假!C10</f>
        <v>0</v>
      </c>
      <c r="G10" s="1">
        <f>TP5月份加班!C10-TP5月份請假!C10</f>
        <v>30</v>
      </c>
      <c r="H10" s="1">
        <f>TP6月份加班!C10-TP6月份請假!C10</f>
        <v>52</v>
      </c>
      <c r="I10" s="1">
        <f>TP7月份加班!C10-TP7月份請假!C10</f>
        <v>0</v>
      </c>
      <c r="J10" s="1">
        <f>TP8月份加班!C10-TP8月份請假!C10</f>
        <v>6</v>
      </c>
      <c r="K10" s="1">
        <f>TP9月份加班!C10-TP9月份請假!C10</f>
        <v>12</v>
      </c>
      <c r="L10" s="1">
        <f>TP10月份加班!C10-TP10月份請假!C10</f>
        <v>21</v>
      </c>
      <c r="M10" s="1">
        <f>TP11月份加班!C10-TP11月份請假!C10</f>
        <v>1</v>
      </c>
      <c r="N10" s="1">
        <f>TP12月份加班!C10-TP12月份請假!C10</f>
        <v>0</v>
      </c>
      <c r="O10" s="1">
        <f t="shared" si="1"/>
        <v>122</v>
      </c>
      <c r="P10" s="4">
        <v>0</v>
      </c>
      <c r="Q10">
        <f t="shared" si="2"/>
        <v>122</v>
      </c>
      <c r="R10" s="42">
        <f t="shared" si="3"/>
        <v>28.4</v>
      </c>
      <c r="S10" s="39">
        <f t="shared" si="9"/>
        <v>61.6</v>
      </c>
      <c r="T10" s="39">
        <v>30.8</v>
      </c>
      <c r="U10" s="39">
        <v>20</v>
      </c>
      <c r="V10" s="39">
        <f t="shared" si="4"/>
        <v>10</v>
      </c>
      <c r="W10" s="39">
        <v>12</v>
      </c>
      <c r="X10" s="39">
        <f t="shared" si="5"/>
        <v>6</v>
      </c>
      <c r="Y10" s="39">
        <v>0</v>
      </c>
      <c r="Z10" s="39">
        <f t="shared" si="6"/>
        <v>0</v>
      </c>
      <c r="AA10" s="39">
        <v>0</v>
      </c>
      <c r="AB10" s="39">
        <f t="shared" si="7"/>
        <v>0</v>
      </c>
      <c r="AC10" s="39">
        <v>0</v>
      </c>
      <c r="AD10" s="39">
        <f t="shared" si="8"/>
        <v>0</v>
      </c>
    </row>
    <row r="11" spans="1:30" ht="16" thickBot="1">
      <c r="A11" s="1">
        <v>9</v>
      </c>
      <c r="B11" s="1" t="s">
        <v>11</v>
      </c>
      <c r="C11" s="1">
        <f>TP1月份加班!C11-TP1月份請假!C11</f>
        <v>0</v>
      </c>
      <c r="D11" s="1">
        <f>TP2月份加班!C11-TP2月份請假!C11</f>
        <v>-24</v>
      </c>
      <c r="E11" s="1">
        <f>TP3月份加班!C11-TP3月份請假!C11</f>
        <v>-14</v>
      </c>
      <c r="F11" s="1">
        <f>TP4月份加班!C11-TP4月份請假!C11</f>
        <v>-8</v>
      </c>
      <c r="G11" s="1">
        <f>TP5月份加班!C11-TP5月份請假!C11</f>
        <v>24</v>
      </c>
      <c r="H11" s="1">
        <f>TP6月份加班!C11-TP6月份請假!C11</f>
        <v>-2</v>
      </c>
      <c r="I11" s="1">
        <f>TP7月份加班!C11-TP7月份請假!C11</f>
        <v>32</v>
      </c>
      <c r="J11" s="1">
        <f>TP8月份加班!C11-TP8月份請假!C11</f>
        <v>57</v>
      </c>
      <c r="K11" s="1">
        <f>TP9月份加班!C11-TP9月份請假!C11</f>
        <v>93</v>
      </c>
      <c r="L11" s="1">
        <f>TP10月份加班!C11-TP10月份請假!C11</f>
        <v>61</v>
      </c>
      <c r="M11" s="1">
        <f>TP11月份加班!C11-TP11月份請假!C11</f>
        <v>47</v>
      </c>
      <c r="N11" s="1">
        <f>TP12月份加班!C11-TP12月份請假!C11</f>
        <v>74</v>
      </c>
      <c r="O11" s="1">
        <f t="shared" si="1"/>
        <v>294</v>
      </c>
      <c r="P11" s="4">
        <v>-46</v>
      </c>
      <c r="Q11">
        <f t="shared" si="2"/>
        <v>248</v>
      </c>
      <c r="R11" s="42">
        <f t="shared" si="3"/>
        <v>-6</v>
      </c>
      <c r="S11" s="39">
        <f t="shared" si="9"/>
        <v>7</v>
      </c>
      <c r="T11" s="39">
        <v>3.5</v>
      </c>
      <c r="U11" s="39">
        <v>32</v>
      </c>
      <c r="V11" s="39">
        <f t="shared" si="4"/>
        <v>16</v>
      </c>
      <c r="W11" s="39">
        <v>87</v>
      </c>
      <c r="X11" s="39">
        <f t="shared" si="5"/>
        <v>43.5</v>
      </c>
      <c r="Y11" s="39">
        <v>53</v>
      </c>
      <c r="Z11" s="39">
        <f t="shared" si="6"/>
        <v>26.5</v>
      </c>
      <c r="AA11" s="39">
        <v>53</v>
      </c>
      <c r="AB11" s="39">
        <f t="shared" si="7"/>
        <v>26.5</v>
      </c>
      <c r="AC11" s="39">
        <v>68</v>
      </c>
      <c r="AD11" s="39">
        <f t="shared" si="8"/>
        <v>34</v>
      </c>
    </row>
    <row r="12" spans="1:30" ht="16" thickBot="1">
      <c r="A12" s="1">
        <v>10</v>
      </c>
      <c r="B12" s="1" t="s">
        <v>12</v>
      </c>
      <c r="C12" s="1">
        <f>TP1月份加班!C12-TP1月份請假!C12</f>
        <v>0</v>
      </c>
      <c r="D12" s="1">
        <f>TP2月份加班!C12-TP2月份請假!C12</f>
        <v>-16</v>
      </c>
      <c r="E12" s="1">
        <f>TP3月份加班!C12-TP3月份請假!C12</f>
        <v>9</v>
      </c>
      <c r="F12" s="1">
        <f>TP4月份加班!C12-TP4月份請假!C12</f>
        <v>10</v>
      </c>
      <c r="G12" s="1">
        <f>TP5月份加班!C12-TP5月份請假!C12</f>
        <v>-18</v>
      </c>
      <c r="H12" s="1">
        <f>TP6月份加班!C12-TP6月份請假!C12</f>
        <v>-4</v>
      </c>
      <c r="I12" s="1">
        <f>TP7月份加班!C12-TP7月份請假!C12</f>
        <v>13</v>
      </c>
      <c r="J12" s="1">
        <f>TP8月份加班!C12-TP8月份請假!C12</f>
        <v>39</v>
      </c>
      <c r="K12" s="1">
        <f>TP9月份加班!C12-TP9月份請假!C12</f>
        <v>-16</v>
      </c>
      <c r="L12" s="1">
        <f>TP10月份加班!C12-TP10月份請假!C12</f>
        <v>0</v>
      </c>
      <c r="M12" s="1">
        <f>TP11月份加班!C12-TP11月份請假!C12</f>
        <v>50</v>
      </c>
      <c r="N12" s="1">
        <f>TP12月份加班!C12-TP12月份請假!C12</f>
        <v>1</v>
      </c>
      <c r="O12" s="1">
        <f t="shared" si="1"/>
        <v>75</v>
      </c>
      <c r="P12" s="4">
        <v>7</v>
      </c>
      <c r="Q12">
        <f t="shared" si="2"/>
        <v>82</v>
      </c>
      <c r="R12" s="40">
        <f t="shared" si="3"/>
        <v>75</v>
      </c>
      <c r="S12" s="39">
        <f t="shared" si="9"/>
        <v>0</v>
      </c>
      <c r="T12" s="39">
        <v>0</v>
      </c>
      <c r="U12" s="39">
        <v>0</v>
      </c>
      <c r="V12" s="39">
        <f t="shared" si="4"/>
        <v>0</v>
      </c>
      <c r="W12" s="39">
        <v>0</v>
      </c>
      <c r="X12" s="39">
        <f t="shared" si="5"/>
        <v>0</v>
      </c>
      <c r="Y12" s="39">
        <v>0</v>
      </c>
      <c r="Z12" s="39">
        <f t="shared" si="6"/>
        <v>0</v>
      </c>
      <c r="AA12" s="39">
        <v>0</v>
      </c>
      <c r="AB12" s="39">
        <f t="shared" si="7"/>
        <v>0</v>
      </c>
      <c r="AC12" s="39">
        <v>0</v>
      </c>
      <c r="AD12" s="39">
        <f t="shared" si="8"/>
        <v>0</v>
      </c>
    </row>
    <row r="13" spans="1:30" ht="16" thickBot="1">
      <c r="A13" s="1">
        <v>11</v>
      </c>
      <c r="B13" s="1" t="s">
        <v>13</v>
      </c>
      <c r="C13" s="1">
        <f>TP1月份加班!C13-TP1月份請假!C13</f>
        <v>-2</v>
      </c>
      <c r="D13" s="1">
        <f>TP2月份加班!C13-TP2月份請假!C13</f>
        <v>-16</v>
      </c>
      <c r="E13" s="1">
        <f>TP3月份加班!C13-TP3月份請假!C13</f>
        <v>22</v>
      </c>
      <c r="F13" s="1">
        <f>TP4月份加班!C13-TP4月份請假!C13</f>
        <v>26</v>
      </c>
      <c r="G13" s="1">
        <f>TP5月份加班!C13-TP5月份請假!C13</f>
        <v>-20</v>
      </c>
      <c r="H13" s="1">
        <f>TP6月份加班!C13-TP6月份請假!C13</f>
        <v>-5</v>
      </c>
      <c r="I13" s="1">
        <f>TP7月份加班!C13-TP7月份請假!C13</f>
        <v>5</v>
      </c>
      <c r="J13" s="1">
        <f>TP8月份加班!C13-TP8月份請假!C13</f>
        <v>40</v>
      </c>
      <c r="K13" s="1">
        <f>TP9月份加班!C13-TP9月份請假!C13</f>
        <v>98</v>
      </c>
      <c r="L13" s="1">
        <f>TP10月份加班!C13-TP10月份請假!C13</f>
        <v>99</v>
      </c>
      <c r="M13" s="1">
        <f>TP11月份加班!C13-TP11月份請假!C13</f>
        <v>53</v>
      </c>
      <c r="N13" s="1">
        <f>TP12月份加班!C13-TP12月份請假!C13</f>
        <v>98</v>
      </c>
      <c r="O13" s="1">
        <f t="shared" si="1"/>
        <v>398</v>
      </c>
      <c r="P13" s="4">
        <v>0</v>
      </c>
      <c r="Q13">
        <f t="shared" si="2"/>
        <v>398</v>
      </c>
      <c r="R13" s="42">
        <f t="shared" si="3"/>
        <v>22</v>
      </c>
      <c r="S13" s="39">
        <f t="shared" si="9"/>
        <v>0</v>
      </c>
      <c r="T13" s="39">
        <v>0</v>
      </c>
      <c r="U13" s="39">
        <v>40</v>
      </c>
      <c r="V13" s="39">
        <f t="shared" si="4"/>
        <v>20</v>
      </c>
      <c r="W13" s="39">
        <v>92</v>
      </c>
      <c r="X13" s="39">
        <f t="shared" si="5"/>
        <v>46</v>
      </c>
      <c r="Y13" s="39">
        <v>91</v>
      </c>
      <c r="Z13" s="39">
        <f t="shared" si="6"/>
        <v>45.5</v>
      </c>
      <c r="AA13" s="39">
        <v>63</v>
      </c>
      <c r="AB13" s="39">
        <f t="shared" si="7"/>
        <v>31.5</v>
      </c>
      <c r="AC13" s="39">
        <v>90</v>
      </c>
      <c r="AD13" s="39">
        <f t="shared" si="8"/>
        <v>45</v>
      </c>
    </row>
    <row r="14" spans="1:30" ht="16" thickBot="1">
      <c r="A14" s="1">
        <v>12</v>
      </c>
      <c r="B14" s="1" t="s">
        <v>14</v>
      </c>
      <c r="C14" s="1">
        <f>TP1月份加班!C14-TP1月份請假!C14</f>
        <v>0</v>
      </c>
      <c r="D14" s="1">
        <f>TP2月份加班!C14-TP2月份請假!C14</f>
        <v>-46</v>
      </c>
      <c r="E14" s="1">
        <f>TP3月份加班!C14-TP3月份請假!C14</f>
        <v>0</v>
      </c>
      <c r="F14" s="1">
        <f>TP4月份加班!C14-TP4月份請假!C14</f>
        <v>26</v>
      </c>
      <c r="G14" s="1">
        <f>TP5月份加班!C14-TP5月份請假!C14</f>
        <v>20</v>
      </c>
      <c r="H14" s="1">
        <f>TP6月份加班!C14-TP6月份請假!C14</f>
        <v>23</v>
      </c>
      <c r="I14" s="1">
        <f>TP7月份加班!C14-TP7月份請假!C14</f>
        <v>-8</v>
      </c>
      <c r="J14" s="1">
        <f>TP8月份加班!C14-TP8月份請假!C14</f>
        <v>40</v>
      </c>
      <c r="K14" s="1">
        <f>TP9月份加班!C14-TP9月份請假!C14</f>
        <v>52</v>
      </c>
      <c r="L14" s="1">
        <f>TP10月份加班!C14-TP10月份請假!C14</f>
        <v>92</v>
      </c>
      <c r="M14" s="1">
        <f>TP11月份加班!C14-TP11月份請假!C14</f>
        <v>66</v>
      </c>
      <c r="N14" s="1">
        <f>TP12月份加班!C14-TP12月份請假!C14</f>
        <v>95</v>
      </c>
      <c r="O14" s="1">
        <f t="shared" si="1"/>
        <v>406</v>
      </c>
      <c r="P14" s="4">
        <v>46</v>
      </c>
      <c r="Q14">
        <f t="shared" si="2"/>
        <v>452</v>
      </c>
      <c r="R14" s="42">
        <f t="shared" si="3"/>
        <v>107</v>
      </c>
      <c r="S14" s="39">
        <f t="shared" si="9"/>
        <v>0</v>
      </c>
      <c r="T14" s="39">
        <v>0</v>
      </c>
      <c r="U14" s="39">
        <v>40</v>
      </c>
      <c r="V14" s="39">
        <f t="shared" si="4"/>
        <v>20</v>
      </c>
      <c r="W14" s="39">
        <v>48</v>
      </c>
      <c r="X14" s="39">
        <f t="shared" si="5"/>
        <v>24</v>
      </c>
      <c r="Y14" s="39">
        <v>40</v>
      </c>
      <c r="Z14" s="39">
        <f t="shared" si="6"/>
        <v>20</v>
      </c>
      <c r="AA14" s="39">
        <v>66</v>
      </c>
      <c r="AB14" s="39">
        <f t="shared" si="7"/>
        <v>33</v>
      </c>
      <c r="AC14" s="39">
        <v>105</v>
      </c>
      <c r="AD14" s="39">
        <f t="shared" si="8"/>
        <v>52.5</v>
      </c>
    </row>
    <row r="15" spans="1:30" ht="16" thickBot="1">
      <c r="A15" s="1">
        <v>13</v>
      </c>
      <c r="B15" s="1" t="s">
        <v>16</v>
      </c>
      <c r="C15" s="1">
        <f>TP1月份加班!C15-TP1月份請假!C15</f>
        <v>8</v>
      </c>
      <c r="D15" s="1">
        <f>TP2月份加班!C15-TP2月份請假!C15</f>
        <v>-48</v>
      </c>
      <c r="E15" s="1">
        <f>TP3月份加班!C15-TP3月份請假!C15</f>
        <v>-17</v>
      </c>
      <c r="F15" s="1">
        <f>TP4月份加班!C15-TP4月份請假!C15</f>
        <v>-16</v>
      </c>
      <c r="G15" s="1">
        <f>TP5月份加班!C15-TP5月份請假!C15</f>
        <v>40</v>
      </c>
      <c r="H15" s="1">
        <f>TP6月份加班!C15-TP6月份請假!C15</f>
        <v>96</v>
      </c>
      <c r="I15" s="1">
        <f>TP7月份加班!C15-TP7月份請假!C15</f>
        <v>-11</v>
      </c>
      <c r="J15" s="1">
        <f>TP8月份加班!C15-TP8月份請假!C15</f>
        <v>76</v>
      </c>
      <c r="K15" s="1">
        <f>TP9月份加班!C15-TP9月份請假!C15</f>
        <v>41</v>
      </c>
      <c r="L15" s="1">
        <f>TP10月份加班!C15-TP10月份請假!C15</f>
        <v>23</v>
      </c>
      <c r="M15" s="1">
        <f>TP11月份加班!C15-TP11月份請假!C15</f>
        <v>66</v>
      </c>
      <c r="N15" s="1">
        <f>TP12月份加班!C15-TP12月份請假!C15</f>
        <v>20</v>
      </c>
      <c r="O15" s="1">
        <f>SUM(C15:N15)+P15</f>
        <v>335</v>
      </c>
      <c r="P15" s="4">
        <v>57</v>
      </c>
      <c r="Q15">
        <f t="shared" si="2"/>
        <v>392</v>
      </c>
      <c r="R15" s="42">
        <f t="shared" si="3"/>
        <v>184</v>
      </c>
      <c r="S15" s="39">
        <f t="shared" si="9"/>
        <v>43</v>
      </c>
      <c r="T15" s="39">
        <v>21.5</v>
      </c>
      <c r="U15" s="39">
        <v>64</v>
      </c>
      <c r="V15" s="39">
        <f t="shared" si="4"/>
        <v>32</v>
      </c>
      <c r="W15" s="39">
        <v>44</v>
      </c>
      <c r="X15" s="39">
        <f t="shared" si="5"/>
        <v>22</v>
      </c>
      <c r="Y15" s="39">
        <v>0</v>
      </c>
      <c r="Z15" s="39">
        <f t="shared" si="6"/>
        <v>0</v>
      </c>
      <c r="AA15" s="39">
        <v>0</v>
      </c>
      <c r="AB15" s="39">
        <f t="shared" si="7"/>
        <v>0</v>
      </c>
      <c r="AC15" s="39">
        <v>0</v>
      </c>
      <c r="AD15" s="39">
        <f t="shared" si="8"/>
        <v>0</v>
      </c>
    </row>
    <row r="16" spans="1:30" ht="16" thickBot="1">
      <c r="A16" s="1">
        <v>14</v>
      </c>
      <c r="B16" s="1" t="s">
        <v>60</v>
      </c>
      <c r="C16" s="1">
        <f>TP1月份加班!C16-TP1月份請假!C16</f>
        <v>18</v>
      </c>
      <c r="D16" s="1">
        <f>TP2月份加班!C16-TP2月份請假!C16</f>
        <v>0</v>
      </c>
      <c r="E16" s="1">
        <f>TP3月份加班!C16-TP3月份請假!C16</f>
        <v>0</v>
      </c>
      <c r="F16" s="1">
        <f>TP4月份加班!C16-TP4月份請假!C16</f>
        <v>-20</v>
      </c>
      <c r="G16" s="1">
        <f>TP5月份加班!C16-TP5月份請假!C16</f>
        <v>54</v>
      </c>
      <c r="H16" s="1">
        <f>TP6月份加班!C16-TP6月份請假!C16</f>
        <v>48</v>
      </c>
      <c r="I16" s="1">
        <f>TP7月份加班!C16-TP7月份請假!C16</f>
        <v>-16</v>
      </c>
      <c r="J16" s="1">
        <f>TP8月份加班!C16-TP8月份請假!C16</f>
        <v>-16</v>
      </c>
      <c r="K16" s="1">
        <f>TP9月份加班!C16-TP9月份請假!C16</f>
        <v>-16</v>
      </c>
      <c r="L16" s="1">
        <f>TP10月份加班!C16-TP10月份請假!C16</f>
        <v>17</v>
      </c>
      <c r="M16" s="1">
        <f>TP11月份加班!C16-TP11月份請假!C16</f>
        <v>84</v>
      </c>
      <c r="N16" s="1">
        <f>TP12月份加班!C16-TP12月份請假!C16</f>
        <v>144</v>
      </c>
      <c r="O16" s="1">
        <f t="shared" si="1"/>
        <v>284</v>
      </c>
      <c r="P16" s="4">
        <v>-13</v>
      </c>
      <c r="Q16">
        <f t="shared" si="2"/>
        <v>271</v>
      </c>
      <c r="R16" s="42">
        <f t="shared" si="3"/>
        <v>9.8000000000000114</v>
      </c>
      <c r="S16" s="39">
        <f t="shared" si="9"/>
        <v>44.2</v>
      </c>
      <c r="T16" s="39">
        <v>22.1</v>
      </c>
      <c r="U16" s="39">
        <v>0</v>
      </c>
      <c r="V16" s="39">
        <f t="shared" si="4"/>
        <v>0</v>
      </c>
      <c r="W16" s="39">
        <v>0</v>
      </c>
      <c r="X16" s="39">
        <f t="shared" si="5"/>
        <v>0</v>
      </c>
      <c r="Y16" s="39">
        <v>24</v>
      </c>
      <c r="Z16" s="39">
        <f t="shared" si="6"/>
        <v>12</v>
      </c>
      <c r="AA16" s="39">
        <v>70</v>
      </c>
      <c r="AB16" s="39">
        <f t="shared" si="7"/>
        <v>35</v>
      </c>
      <c r="AC16" s="39">
        <v>136</v>
      </c>
      <c r="AD16" s="39">
        <f t="shared" si="8"/>
        <v>68</v>
      </c>
    </row>
    <row r="17" spans="1:30" ht="16" thickBot="1">
      <c r="A17" s="1">
        <v>15</v>
      </c>
      <c r="B17" s="1" t="s">
        <v>66</v>
      </c>
      <c r="C17" s="1">
        <f>TP1月份加班!C17-TP1月份請假!C17</f>
        <v>2</v>
      </c>
      <c r="D17" s="1">
        <f>TP2月份加班!C17-TP2月份請假!C17</f>
        <v>9</v>
      </c>
      <c r="E17" s="1">
        <f>TP3月份加班!C17-TP3月份請假!C17</f>
        <v>0</v>
      </c>
      <c r="F17" s="1">
        <f>TP4月份加班!C17-TP4月份請假!C17</f>
        <v>0</v>
      </c>
      <c r="G17" s="1">
        <f>TP5月份加班!C17-TP5月份請假!C17</f>
        <v>-16</v>
      </c>
      <c r="H17" s="1">
        <f>TP6月份加班!C17-TP6月份請假!C17</f>
        <v>9</v>
      </c>
      <c r="I17" s="1">
        <f>TP7月份加班!C17-TP7月份請假!C17</f>
        <v>14</v>
      </c>
      <c r="J17" s="1">
        <f>TP8月份加班!C17-TP8月份請假!C17</f>
        <v>-5</v>
      </c>
      <c r="K17" s="1">
        <f>TP9月份加班!C17-TP9月份請假!C17</f>
        <v>3</v>
      </c>
      <c r="L17" s="1">
        <f>TP10月份加班!C17-TP10月份請假!C17</f>
        <v>36</v>
      </c>
      <c r="M17" s="1">
        <f>TP11月份加班!C17-TP11月份請假!C17</f>
        <v>55</v>
      </c>
      <c r="N17" s="1">
        <f>TP12月份加班!C17-TP12月份請假!C17</f>
        <v>-27</v>
      </c>
      <c r="O17" s="1">
        <f t="shared" si="1"/>
        <v>80</v>
      </c>
      <c r="P17" s="4">
        <v>0</v>
      </c>
      <c r="Q17">
        <f t="shared" si="2"/>
        <v>80</v>
      </c>
      <c r="R17" s="40">
        <f t="shared" si="3"/>
        <v>80</v>
      </c>
      <c r="S17" s="39">
        <f t="shared" si="9"/>
        <v>0</v>
      </c>
      <c r="T17" s="39">
        <v>0</v>
      </c>
      <c r="U17" s="39">
        <v>0</v>
      </c>
      <c r="V17" s="39">
        <f t="shared" si="4"/>
        <v>0</v>
      </c>
      <c r="W17" s="39">
        <v>0</v>
      </c>
      <c r="X17" s="39">
        <f t="shared" si="5"/>
        <v>0</v>
      </c>
      <c r="Y17" s="39">
        <v>0</v>
      </c>
      <c r="Z17" s="39">
        <f t="shared" si="6"/>
        <v>0</v>
      </c>
      <c r="AA17" s="39">
        <v>0</v>
      </c>
      <c r="AB17" s="39">
        <f t="shared" si="7"/>
        <v>0</v>
      </c>
      <c r="AC17" s="39">
        <v>0</v>
      </c>
      <c r="AD17" s="39">
        <f t="shared" si="8"/>
        <v>0</v>
      </c>
    </row>
    <row r="18" spans="1:30" ht="16" thickBot="1">
      <c r="A18" s="1">
        <v>16</v>
      </c>
      <c r="B18" s="1" t="s">
        <v>87</v>
      </c>
      <c r="C18" s="1">
        <f>TP1月份加班!C18-TP1月份請假!C18</f>
        <v>2</v>
      </c>
      <c r="D18" s="1">
        <f>TP2月份加班!C18-TP2月份請假!C18</f>
        <v>9</v>
      </c>
      <c r="E18" s="1">
        <f>TP3月份加班!C18-TP3月份請假!C18</f>
        <v>0</v>
      </c>
      <c r="F18" s="1">
        <f>TP4月份加班!C18-TP4月份請假!C18</f>
        <v>0</v>
      </c>
      <c r="G18" s="1">
        <f>TP5月份加班!C18-TP5月份請假!C18</f>
        <v>22</v>
      </c>
      <c r="H18" s="1">
        <f>TP6月份加班!C18-TP6月份請假!C18</f>
        <v>79</v>
      </c>
      <c r="I18" s="1">
        <f>TP7月份加班!C18-TP7月份請假!C18</f>
        <v>-32</v>
      </c>
      <c r="J18" s="1">
        <f>TP8月份加班!C18-TP8月份請假!C18</f>
        <v>0</v>
      </c>
      <c r="K18" s="1">
        <f>TP9月份加班!C18-TP9月份請假!C18</f>
        <v>-6</v>
      </c>
      <c r="L18" s="1">
        <f>TP10月份加班!C18-TP10月份請假!C18</f>
        <v>36</v>
      </c>
      <c r="M18" s="1">
        <f>TP11月份加班!C18-TP11月份請假!C18</f>
        <v>55</v>
      </c>
      <c r="N18" s="1">
        <f>TP12月份加班!C18-TP12月份請假!C18</f>
        <v>-27</v>
      </c>
      <c r="O18" s="1">
        <f t="shared" si="1"/>
        <v>138</v>
      </c>
      <c r="P18" s="4">
        <v>0</v>
      </c>
      <c r="Q18">
        <f t="shared" si="2"/>
        <v>138</v>
      </c>
      <c r="R18" s="42">
        <f t="shared" si="3"/>
        <v>39.799999999999997</v>
      </c>
      <c r="S18" s="39">
        <f t="shared" si="9"/>
        <v>98.2</v>
      </c>
      <c r="T18" s="39">
        <v>49.1</v>
      </c>
      <c r="U18" s="39">
        <v>0</v>
      </c>
      <c r="V18" s="39">
        <f t="shared" si="4"/>
        <v>0</v>
      </c>
      <c r="W18" s="39">
        <v>0</v>
      </c>
      <c r="X18" s="39">
        <f t="shared" si="5"/>
        <v>0</v>
      </c>
      <c r="Y18" s="39">
        <v>0</v>
      </c>
      <c r="Z18" s="39">
        <f t="shared" si="6"/>
        <v>0</v>
      </c>
      <c r="AA18" s="39">
        <v>0</v>
      </c>
      <c r="AB18" s="39">
        <f t="shared" si="7"/>
        <v>0</v>
      </c>
      <c r="AC18" s="39">
        <v>0</v>
      </c>
      <c r="AD18" s="39">
        <f t="shared" si="8"/>
        <v>0</v>
      </c>
    </row>
    <row r="19" spans="1:30" ht="16" thickBot="1">
      <c r="A19" s="1">
        <v>17</v>
      </c>
      <c r="B19" s="1" t="s">
        <v>104</v>
      </c>
      <c r="C19" s="26"/>
      <c r="D19" s="26"/>
      <c r="E19" s="1">
        <f>TP3月份加班!C19-TP3月份請假!C19</f>
        <v>-5</v>
      </c>
      <c r="F19" s="1">
        <f>TP4月份加班!C19-TP4月份請假!C19</f>
        <v>2</v>
      </c>
      <c r="G19" s="1">
        <f>TP5月份加班!C19-TP5月份請假!C19</f>
        <v>-16</v>
      </c>
      <c r="H19" s="1">
        <f>TP6月份加班!C19-TP6月份請假!C19</f>
        <v>15</v>
      </c>
      <c r="I19" s="1">
        <f>TP7月份加班!C19-TP7月份請假!C19</f>
        <v>14</v>
      </c>
      <c r="J19" s="1">
        <f>TP8月份加班!C19-TP8月份請假!C19</f>
        <v>4</v>
      </c>
      <c r="K19" s="1">
        <f>TP9月份加班!C19-TP9月份請假!C21</f>
        <v>1</v>
      </c>
      <c r="L19" s="1">
        <f>TP10月份加班!C19-TP10月份請假!C21</f>
        <v>16</v>
      </c>
      <c r="M19" s="1">
        <f>TP11月份加班!C19-TP11月份請假!C19</f>
        <v>19</v>
      </c>
      <c r="N19" s="1">
        <f>TP12月份加班!C19-TP12月份請假!C19</f>
        <v>7</v>
      </c>
      <c r="O19" s="1">
        <f t="shared" si="1"/>
        <v>57</v>
      </c>
      <c r="P19" s="4">
        <v>0</v>
      </c>
      <c r="Q19">
        <f t="shared" si="2"/>
        <v>57</v>
      </c>
      <c r="R19" s="40">
        <f t="shared" si="3"/>
        <v>57</v>
      </c>
      <c r="S19" s="39">
        <f t="shared" si="9"/>
        <v>0</v>
      </c>
      <c r="T19" s="39">
        <v>0</v>
      </c>
      <c r="U19" s="39">
        <v>0</v>
      </c>
      <c r="V19" s="39">
        <f t="shared" si="4"/>
        <v>0</v>
      </c>
      <c r="W19" s="39">
        <v>0</v>
      </c>
      <c r="X19" s="39">
        <f t="shared" si="5"/>
        <v>0</v>
      </c>
      <c r="Y19" s="39">
        <v>0</v>
      </c>
      <c r="Z19" s="39">
        <f t="shared" si="6"/>
        <v>0</v>
      </c>
      <c r="AA19" s="39">
        <v>0</v>
      </c>
      <c r="AB19" s="39">
        <f t="shared" si="7"/>
        <v>0</v>
      </c>
      <c r="AC19" s="39">
        <v>0</v>
      </c>
      <c r="AD19" s="39">
        <f t="shared" si="8"/>
        <v>0</v>
      </c>
    </row>
    <row r="20" spans="1:30" ht="16" thickBot="1">
      <c r="A20" s="1">
        <v>18</v>
      </c>
      <c r="B20" s="1" t="s">
        <v>139</v>
      </c>
      <c r="C20" s="26"/>
      <c r="D20" s="26"/>
      <c r="E20" s="1">
        <f>TP3月份加班!C20-TP3月份請假!C20</f>
        <v>0</v>
      </c>
      <c r="F20" s="1">
        <f>TP4月份加班!C20-TP4月份請假!C20</f>
        <v>0</v>
      </c>
      <c r="G20" s="1">
        <f>TP5月份加班!C20-TP5月份請假!C20</f>
        <v>30</v>
      </c>
      <c r="H20" s="1">
        <f>TP6月份加班!C20-TP6月份請假!C20</f>
        <v>32</v>
      </c>
      <c r="I20" s="1">
        <f>TP7月份加班!C20-TP7月份請假!C20</f>
        <v>-32</v>
      </c>
      <c r="J20" s="1">
        <f>TP8月份加班!C20-TP8月份請假!C20</f>
        <v>36</v>
      </c>
      <c r="K20" s="1">
        <f>TP9月份加班!C20-TP9月份請假!C22</f>
        <v>19</v>
      </c>
      <c r="L20" s="1">
        <f>TP10月份加班!C20-TP10月份請假!C22</f>
        <v>16</v>
      </c>
      <c r="M20" s="1">
        <f>TP11月份加班!C20-TP11月份請假!C20</f>
        <v>46</v>
      </c>
      <c r="N20" s="1">
        <f>TP12月份加班!C20-TP12月份請假!C20</f>
        <v>81</v>
      </c>
      <c r="O20" s="1">
        <f t="shared" si="1"/>
        <v>228</v>
      </c>
      <c r="P20" s="4"/>
      <c r="R20" s="42">
        <f t="shared" si="3"/>
        <v>147.19999999999999</v>
      </c>
      <c r="S20" s="39">
        <f t="shared" si="9"/>
        <v>36.799999999999997</v>
      </c>
      <c r="T20" s="39">
        <v>18.399999999999999</v>
      </c>
      <c r="U20" s="39">
        <v>32</v>
      </c>
      <c r="V20" s="39">
        <f t="shared" si="4"/>
        <v>16</v>
      </c>
      <c r="W20" s="39">
        <v>12</v>
      </c>
      <c r="X20" s="39">
        <f t="shared" si="5"/>
        <v>6</v>
      </c>
      <c r="Y20" s="39">
        <v>0</v>
      </c>
      <c r="Z20" s="39">
        <f t="shared" si="6"/>
        <v>0</v>
      </c>
      <c r="AA20" s="39">
        <v>0</v>
      </c>
      <c r="AB20" s="39">
        <f t="shared" si="7"/>
        <v>0</v>
      </c>
      <c r="AC20" s="39">
        <v>0</v>
      </c>
      <c r="AD20" s="39">
        <f t="shared" si="8"/>
        <v>0</v>
      </c>
    </row>
    <row r="21" spans="1:30">
      <c r="A21" s="56" t="s">
        <v>100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ht="409.5" customHeight="1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</sheetData>
  <mergeCells count="29">
    <mergeCell ref="W21:X22"/>
    <mergeCell ref="W1:X1"/>
    <mergeCell ref="R1:R2"/>
    <mergeCell ref="R21:R22"/>
    <mergeCell ref="S1:T1"/>
    <mergeCell ref="U1:V1"/>
    <mergeCell ref="S21:T22"/>
    <mergeCell ref="U21:V22"/>
    <mergeCell ref="A21:O22"/>
    <mergeCell ref="A1:B1"/>
    <mergeCell ref="O1:O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Y1:Z1"/>
    <mergeCell ref="Y21:Z22"/>
    <mergeCell ref="AA1:AB1"/>
    <mergeCell ref="AA21:AB22"/>
    <mergeCell ref="AC1:AD1"/>
    <mergeCell ref="AC21:AD22"/>
  </mergeCells>
  <phoneticPr fontId="1" type="noConversion"/>
  <conditionalFormatting sqref="C3:O20">
    <cfRule type="cellIs" dxfId="57" priority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32"/>
  <sheetViews>
    <sheetView zoomScaleNormal="100" workbookViewId="0">
      <selection activeCell="AN11" sqref="AN11"/>
    </sheetView>
  </sheetViews>
  <sheetFormatPr baseColWidth="10" defaultColWidth="8.83203125" defaultRowHeight="15"/>
  <cols>
    <col min="3" max="32" width="8.83203125" hidden="1" customWidth="1"/>
    <col min="33" max="33" width="8.83203125" customWidth="1"/>
  </cols>
  <sheetData>
    <row r="1" spans="1:33" ht="27">
      <c r="A1" s="70" t="s">
        <v>0</v>
      </c>
      <c r="B1" s="70"/>
      <c r="C1" s="68">
        <v>45627</v>
      </c>
      <c r="D1" s="68">
        <v>45628</v>
      </c>
      <c r="E1" s="68">
        <v>45629</v>
      </c>
      <c r="F1" s="68">
        <v>45630</v>
      </c>
      <c r="G1" s="68">
        <v>45631</v>
      </c>
      <c r="H1" s="68">
        <v>45632</v>
      </c>
      <c r="I1" s="68">
        <v>45633</v>
      </c>
      <c r="J1" s="68">
        <v>45634</v>
      </c>
      <c r="K1" s="68">
        <v>45635</v>
      </c>
      <c r="L1" s="68">
        <v>45636</v>
      </c>
      <c r="M1" s="68">
        <v>45637</v>
      </c>
      <c r="N1" s="68">
        <v>45638</v>
      </c>
      <c r="O1" s="68">
        <v>45639</v>
      </c>
      <c r="P1" s="68">
        <v>45640</v>
      </c>
      <c r="Q1" s="68">
        <v>45641</v>
      </c>
      <c r="R1" s="68">
        <v>45642</v>
      </c>
      <c r="S1" s="68">
        <v>45643</v>
      </c>
      <c r="T1" s="68">
        <v>45644</v>
      </c>
      <c r="U1" s="68">
        <v>45645</v>
      </c>
      <c r="V1" s="68">
        <v>45646</v>
      </c>
      <c r="W1" s="68">
        <v>45647</v>
      </c>
      <c r="X1" s="68">
        <v>45648</v>
      </c>
      <c r="Y1" s="68">
        <v>45649</v>
      </c>
      <c r="Z1" s="68">
        <v>45650</v>
      </c>
      <c r="AA1" s="68">
        <v>45651</v>
      </c>
      <c r="AB1" s="68">
        <v>45652</v>
      </c>
      <c r="AC1" s="68">
        <v>45653</v>
      </c>
      <c r="AD1" s="68">
        <v>45654</v>
      </c>
      <c r="AE1" s="68">
        <v>45655</v>
      </c>
      <c r="AF1" s="68">
        <v>45656</v>
      </c>
      <c r="AG1" s="68">
        <v>45657</v>
      </c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18">
      <c r="A3" s="1">
        <v>1</v>
      </c>
      <c r="B3" s="1" t="s">
        <v>3</v>
      </c>
      <c r="C3" s="17" t="s">
        <v>92</v>
      </c>
      <c r="D3" s="17" t="s">
        <v>92</v>
      </c>
      <c r="E3" s="17" t="s">
        <v>92</v>
      </c>
      <c r="F3" s="17" t="s">
        <v>92</v>
      </c>
      <c r="G3" s="17" t="s">
        <v>92</v>
      </c>
      <c r="H3" s="2"/>
      <c r="I3" s="2"/>
      <c r="J3" s="17" t="s">
        <v>92</v>
      </c>
      <c r="K3" s="17" t="s">
        <v>92</v>
      </c>
      <c r="L3" s="17" t="s">
        <v>92</v>
      </c>
      <c r="M3" s="17" t="s">
        <v>92</v>
      </c>
      <c r="N3" s="17" t="s">
        <v>92</v>
      </c>
      <c r="O3" s="2"/>
      <c r="P3" s="2"/>
      <c r="Q3" s="17" t="s">
        <v>92</v>
      </c>
      <c r="R3" s="17" t="s">
        <v>92</v>
      </c>
      <c r="S3" s="17" t="s">
        <v>92</v>
      </c>
      <c r="T3" s="17" t="s">
        <v>92</v>
      </c>
      <c r="U3" s="17" t="s">
        <v>92</v>
      </c>
      <c r="V3" s="2"/>
      <c r="W3" s="2"/>
      <c r="X3" s="17" t="s">
        <v>92</v>
      </c>
      <c r="Y3" s="16" t="s">
        <v>25</v>
      </c>
      <c r="Z3" s="16" t="s">
        <v>25</v>
      </c>
      <c r="AA3" s="2"/>
      <c r="AB3" s="17" t="s">
        <v>173</v>
      </c>
      <c r="AC3" s="2"/>
      <c r="AD3" s="2"/>
      <c r="AE3" s="16" t="s">
        <v>25</v>
      </c>
      <c r="AF3" s="16" t="s">
        <v>25</v>
      </c>
      <c r="AG3" s="16" t="s">
        <v>25</v>
      </c>
    </row>
    <row r="4" spans="1:33" ht="18">
      <c r="A4" s="1">
        <v>2</v>
      </c>
      <c r="B4" s="1" t="s">
        <v>4</v>
      </c>
      <c r="C4" s="16" t="s">
        <v>25</v>
      </c>
      <c r="D4" s="16" t="s">
        <v>25</v>
      </c>
      <c r="E4" s="16" t="s">
        <v>25</v>
      </c>
      <c r="F4" s="16" t="s">
        <v>25</v>
      </c>
      <c r="G4" s="16" t="s">
        <v>25</v>
      </c>
      <c r="H4" s="2"/>
      <c r="I4" s="2"/>
      <c r="J4" s="16" t="s">
        <v>25</v>
      </c>
      <c r="K4" s="16" t="s">
        <v>25</v>
      </c>
      <c r="L4" s="16" t="s">
        <v>25</v>
      </c>
      <c r="M4" s="16" t="s">
        <v>25</v>
      </c>
      <c r="N4" s="16" t="s">
        <v>25</v>
      </c>
      <c r="O4" s="2"/>
      <c r="P4" s="2"/>
      <c r="Q4" s="16" t="s">
        <v>25</v>
      </c>
      <c r="R4" s="16" t="s">
        <v>25</v>
      </c>
      <c r="S4" s="16" t="s">
        <v>25</v>
      </c>
      <c r="T4" s="16" t="s">
        <v>25</v>
      </c>
      <c r="U4" s="16" t="s">
        <v>25</v>
      </c>
      <c r="V4" s="2"/>
      <c r="W4" s="2"/>
      <c r="X4" s="16" t="s">
        <v>25</v>
      </c>
      <c r="Y4" s="16" t="s">
        <v>25</v>
      </c>
      <c r="Z4" s="16" t="s">
        <v>25</v>
      </c>
      <c r="AA4" s="23"/>
      <c r="AB4" s="16" t="s">
        <v>25</v>
      </c>
      <c r="AC4" s="2"/>
      <c r="AD4" s="2"/>
      <c r="AE4" s="16" t="s">
        <v>25</v>
      </c>
      <c r="AF4" s="16" t="s">
        <v>25</v>
      </c>
      <c r="AG4" s="16" t="s">
        <v>25</v>
      </c>
    </row>
    <row r="5" spans="1:33" ht="18">
      <c r="A5" s="1">
        <v>3</v>
      </c>
      <c r="B5" s="1" t="s">
        <v>5</v>
      </c>
      <c r="C5" s="16" t="s">
        <v>25</v>
      </c>
      <c r="D5" s="16" t="s">
        <v>25</v>
      </c>
      <c r="E5" s="16" t="s">
        <v>25</v>
      </c>
      <c r="F5" s="16" t="s">
        <v>25</v>
      </c>
      <c r="G5" s="16" t="s">
        <v>25</v>
      </c>
      <c r="H5" s="2"/>
      <c r="I5" s="2"/>
      <c r="J5" s="16" t="s">
        <v>25</v>
      </c>
      <c r="K5" s="16" t="s">
        <v>25</v>
      </c>
      <c r="L5" s="16" t="s">
        <v>25</v>
      </c>
      <c r="M5" s="16" t="s">
        <v>25</v>
      </c>
      <c r="N5" s="16" t="s">
        <v>25</v>
      </c>
      <c r="O5" s="2"/>
      <c r="P5" s="2"/>
      <c r="Q5" s="16" t="s">
        <v>25</v>
      </c>
      <c r="R5" s="16" t="s">
        <v>25</v>
      </c>
      <c r="S5" s="16" t="s">
        <v>25</v>
      </c>
      <c r="T5" s="16" t="s">
        <v>25</v>
      </c>
      <c r="U5" s="16" t="s">
        <v>25</v>
      </c>
      <c r="V5" s="2"/>
      <c r="W5" s="2"/>
      <c r="X5" s="16" t="s">
        <v>25</v>
      </c>
      <c r="Y5" s="16" t="s">
        <v>25</v>
      </c>
      <c r="Z5" s="16" t="s">
        <v>25</v>
      </c>
      <c r="AA5" s="2"/>
      <c r="AB5" s="16" t="s">
        <v>25</v>
      </c>
      <c r="AC5" s="2"/>
      <c r="AD5" s="2"/>
      <c r="AE5" s="16" t="s">
        <v>25</v>
      </c>
      <c r="AF5" s="16" t="s">
        <v>25</v>
      </c>
      <c r="AG5" s="16" t="s">
        <v>25</v>
      </c>
    </row>
    <row r="6" spans="1:33" ht="18">
      <c r="A6" s="1">
        <v>4</v>
      </c>
      <c r="B6" s="1" t="s">
        <v>6</v>
      </c>
      <c r="C6" s="17" t="s">
        <v>92</v>
      </c>
      <c r="D6" s="17" t="s">
        <v>92</v>
      </c>
      <c r="E6" s="17" t="s">
        <v>92</v>
      </c>
      <c r="F6" s="17" t="s">
        <v>92</v>
      </c>
      <c r="G6" s="17" t="s">
        <v>92</v>
      </c>
      <c r="H6" s="2"/>
      <c r="I6" s="2"/>
      <c r="J6" s="17" t="s">
        <v>92</v>
      </c>
      <c r="K6" s="17" t="s">
        <v>92</v>
      </c>
      <c r="L6" s="17" t="s">
        <v>92</v>
      </c>
      <c r="M6" s="17" t="s">
        <v>92</v>
      </c>
      <c r="N6" s="17" t="s">
        <v>92</v>
      </c>
      <c r="O6" s="2"/>
      <c r="P6" s="2"/>
      <c r="Q6" s="17" t="s">
        <v>92</v>
      </c>
      <c r="R6" s="17" t="s">
        <v>92</v>
      </c>
      <c r="S6" s="17" t="s">
        <v>92</v>
      </c>
      <c r="T6" s="17" t="s">
        <v>92</v>
      </c>
      <c r="U6" s="4" t="s">
        <v>50</v>
      </c>
      <c r="V6" s="2"/>
      <c r="W6" s="2"/>
      <c r="X6" s="16" t="s">
        <v>25</v>
      </c>
      <c r="Y6" s="16" t="s">
        <v>25</v>
      </c>
      <c r="Z6" s="16" t="s">
        <v>25</v>
      </c>
      <c r="AA6" s="2"/>
      <c r="AB6" s="16" t="s">
        <v>25</v>
      </c>
      <c r="AC6" s="2"/>
      <c r="AD6" s="2"/>
      <c r="AE6" s="16" t="s">
        <v>25</v>
      </c>
      <c r="AF6" s="16" t="s">
        <v>25</v>
      </c>
      <c r="AG6" s="16" t="s">
        <v>25</v>
      </c>
    </row>
    <row r="7" spans="1:33">
      <c r="A7" s="1">
        <v>5</v>
      </c>
      <c r="B7" s="1" t="s">
        <v>7</v>
      </c>
      <c r="C7" s="17" t="s">
        <v>92</v>
      </c>
      <c r="D7" s="17" t="s">
        <v>92</v>
      </c>
      <c r="E7" s="17" t="s">
        <v>92</v>
      </c>
      <c r="F7" s="17" t="s">
        <v>92</v>
      </c>
      <c r="G7" s="17" t="s">
        <v>92</v>
      </c>
      <c r="H7" s="19"/>
      <c r="I7" s="19"/>
      <c r="J7" s="17" t="s">
        <v>92</v>
      </c>
      <c r="K7" s="17" t="s">
        <v>92</v>
      </c>
      <c r="L7" s="17" t="s">
        <v>92</v>
      </c>
      <c r="M7" s="17" t="s">
        <v>92</v>
      </c>
      <c r="N7" s="17" t="s">
        <v>92</v>
      </c>
      <c r="O7" s="2"/>
      <c r="P7" s="2"/>
      <c r="Q7" s="17" t="s">
        <v>92</v>
      </c>
      <c r="R7" s="17" t="s">
        <v>92</v>
      </c>
      <c r="S7" s="17" t="s">
        <v>92</v>
      </c>
      <c r="T7" s="17" t="s">
        <v>92</v>
      </c>
      <c r="U7" s="17" t="s">
        <v>92</v>
      </c>
      <c r="V7" s="2"/>
      <c r="W7" s="2"/>
      <c r="X7" s="17" t="s">
        <v>92</v>
      </c>
      <c r="Y7" s="17" t="s">
        <v>92</v>
      </c>
      <c r="Z7" s="17" t="s">
        <v>92</v>
      </c>
      <c r="AA7" s="19"/>
      <c r="AB7" s="17" t="s">
        <v>92</v>
      </c>
      <c r="AC7" s="19"/>
      <c r="AD7" s="19"/>
      <c r="AE7" s="17" t="s">
        <v>92</v>
      </c>
      <c r="AF7" s="17" t="s">
        <v>92</v>
      </c>
      <c r="AG7" s="17" t="s">
        <v>92</v>
      </c>
    </row>
    <row r="8" spans="1:33" ht="18">
      <c r="A8" s="1">
        <v>6</v>
      </c>
      <c r="B8" s="1" t="s">
        <v>8</v>
      </c>
      <c r="C8" s="16" t="s">
        <v>25</v>
      </c>
      <c r="D8" s="16" t="s">
        <v>25</v>
      </c>
      <c r="E8" s="16" t="s">
        <v>25</v>
      </c>
      <c r="F8" s="16" t="s">
        <v>25</v>
      </c>
      <c r="G8" s="16" t="s">
        <v>25</v>
      </c>
      <c r="H8" s="2"/>
      <c r="I8" s="2"/>
      <c r="J8" s="16" t="s">
        <v>25</v>
      </c>
      <c r="K8" s="16" t="s">
        <v>25</v>
      </c>
      <c r="L8" s="16" t="s">
        <v>25</v>
      </c>
      <c r="M8" s="1" t="s">
        <v>62</v>
      </c>
      <c r="N8" s="16" t="s">
        <v>25</v>
      </c>
      <c r="O8" s="2"/>
      <c r="P8" s="2"/>
      <c r="Q8" s="16" t="s">
        <v>25</v>
      </c>
      <c r="R8" s="16" t="s">
        <v>25</v>
      </c>
      <c r="S8" s="16" t="s">
        <v>25</v>
      </c>
      <c r="T8" s="16" t="s">
        <v>25</v>
      </c>
      <c r="U8" s="16" t="s">
        <v>25</v>
      </c>
      <c r="V8" s="2"/>
      <c r="W8" s="2"/>
      <c r="X8" s="16" t="s">
        <v>25</v>
      </c>
      <c r="Y8" s="16" t="s">
        <v>25</v>
      </c>
      <c r="Z8" s="16" t="s">
        <v>25</v>
      </c>
      <c r="AA8" s="2"/>
      <c r="AB8" s="16" t="s">
        <v>25</v>
      </c>
      <c r="AC8" s="2"/>
      <c r="AD8" s="2"/>
      <c r="AE8" s="16" t="s">
        <v>25</v>
      </c>
      <c r="AF8" s="16" t="s">
        <v>25</v>
      </c>
      <c r="AG8" s="16" t="s">
        <v>25</v>
      </c>
    </row>
    <row r="9" spans="1:33" ht="18">
      <c r="A9" s="1">
        <v>7</v>
      </c>
      <c r="B9" s="1" t="s">
        <v>9</v>
      </c>
      <c r="C9" s="16" t="s">
        <v>25</v>
      </c>
      <c r="D9" s="16" t="s">
        <v>25</v>
      </c>
      <c r="E9" s="4" t="s">
        <v>50</v>
      </c>
      <c r="F9" s="16" t="s">
        <v>25</v>
      </c>
      <c r="G9" s="4" t="s">
        <v>62</v>
      </c>
      <c r="H9" s="19"/>
      <c r="I9" s="19"/>
      <c r="J9" s="16" t="s">
        <v>25</v>
      </c>
      <c r="K9" s="16" t="s">
        <v>30</v>
      </c>
      <c r="L9" s="16" t="s">
        <v>25</v>
      </c>
      <c r="M9" s="1" t="s">
        <v>62</v>
      </c>
      <c r="N9" s="4" t="s">
        <v>50</v>
      </c>
      <c r="O9" s="2" t="s">
        <v>92</v>
      </c>
      <c r="P9" s="2" t="s">
        <v>92</v>
      </c>
      <c r="Q9" s="17" t="s">
        <v>92</v>
      </c>
      <c r="R9" s="17" t="s">
        <v>92</v>
      </c>
      <c r="S9" s="17" t="s">
        <v>92</v>
      </c>
      <c r="T9" s="17" t="s">
        <v>92</v>
      </c>
      <c r="U9" s="17" t="s">
        <v>92</v>
      </c>
      <c r="V9" s="2"/>
      <c r="W9" s="2"/>
      <c r="X9" s="17" t="s">
        <v>92</v>
      </c>
      <c r="Y9" s="17" t="s">
        <v>92</v>
      </c>
      <c r="Z9" s="17" t="s">
        <v>92</v>
      </c>
      <c r="AA9" s="19"/>
      <c r="AB9" s="17" t="s">
        <v>92</v>
      </c>
      <c r="AC9" s="19"/>
      <c r="AD9" s="19"/>
      <c r="AE9" s="17" t="s">
        <v>92</v>
      </c>
      <c r="AF9" s="17" t="s">
        <v>92</v>
      </c>
      <c r="AG9" s="17" t="s">
        <v>92</v>
      </c>
    </row>
    <row r="10" spans="1:33" ht="18">
      <c r="A10" s="1">
        <v>8</v>
      </c>
      <c r="B10" s="1" t="s">
        <v>10</v>
      </c>
      <c r="C10" s="16" t="s">
        <v>25</v>
      </c>
      <c r="D10" s="16" t="s">
        <v>25</v>
      </c>
      <c r="E10" s="16" t="s">
        <v>25</v>
      </c>
      <c r="F10" s="16" t="s">
        <v>25</v>
      </c>
      <c r="G10" s="16" t="s">
        <v>25</v>
      </c>
      <c r="H10" s="2"/>
      <c r="I10" s="2"/>
      <c r="J10" s="17" t="s">
        <v>62</v>
      </c>
      <c r="K10" s="16" t="s">
        <v>25</v>
      </c>
      <c r="L10" s="16" t="s">
        <v>25</v>
      </c>
      <c r="M10" s="16" t="s">
        <v>25</v>
      </c>
      <c r="N10" s="16" t="s">
        <v>25</v>
      </c>
      <c r="O10" s="2"/>
      <c r="P10" s="2"/>
      <c r="Q10" s="16" t="s">
        <v>25</v>
      </c>
      <c r="R10" s="16" t="s">
        <v>25</v>
      </c>
      <c r="S10" s="16" t="s">
        <v>25</v>
      </c>
      <c r="T10" s="16" t="s">
        <v>25</v>
      </c>
      <c r="U10" s="16" t="s">
        <v>25</v>
      </c>
      <c r="V10" s="2"/>
      <c r="W10" s="2"/>
      <c r="X10" s="16" t="s">
        <v>25</v>
      </c>
      <c r="Y10" s="16" t="s">
        <v>25</v>
      </c>
      <c r="Z10" s="16" t="s">
        <v>25</v>
      </c>
      <c r="AA10" s="2"/>
      <c r="AB10" s="16" t="s">
        <v>25</v>
      </c>
      <c r="AC10" s="2"/>
      <c r="AD10" s="2"/>
      <c r="AE10" s="16" t="s">
        <v>25</v>
      </c>
      <c r="AF10" s="16" t="s">
        <v>25</v>
      </c>
      <c r="AG10" s="16" t="s">
        <v>25</v>
      </c>
    </row>
    <row r="11" spans="1:33">
      <c r="A11" s="1">
        <v>9</v>
      </c>
      <c r="B11" s="1" t="s">
        <v>11</v>
      </c>
      <c r="C11" s="17" t="s">
        <v>92</v>
      </c>
      <c r="D11" s="17" t="s">
        <v>92</v>
      </c>
      <c r="E11" s="17" t="s">
        <v>92</v>
      </c>
      <c r="F11" s="17" t="s">
        <v>92</v>
      </c>
      <c r="G11" s="17" t="s">
        <v>92</v>
      </c>
      <c r="H11" s="19"/>
      <c r="I11" s="19"/>
      <c r="J11" s="17" t="s">
        <v>92</v>
      </c>
      <c r="K11" s="17" t="s">
        <v>92</v>
      </c>
      <c r="L11" s="17" t="s">
        <v>92</v>
      </c>
      <c r="M11" s="17" t="s">
        <v>92</v>
      </c>
      <c r="N11" s="17" t="s">
        <v>92</v>
      </c>
      <c r="O11" s="2"/>
      <c r="P11" s="2"/>
      <c r="Q11" s="17" t="s">
        <v>92</v>
      </c>
      <c r="R11" s="17" t="s">
        <v>92</v>
      </c>
      <c r="S11" s="17" t="s">
        <v>92</v>
      </c>
      <c r="T11" s="17" t="s">
        <v>92</v>
      </c>
      <c r="U11" s="17" t="s">
        <v>92</v>
      </c>
      <c r="V11" s="2"/>
      <c r="W11" s="2"/>
      <c r="X11" s="17" t="s">
        <v>92</v>
      </c>
      <c r="Y11" s="17" t="s">
        <v>92</v>
      </c>
      <c r="Z11" s="17" t="s">
        <v>92</v>
      </c>
      <c r="AA11" s="19"/>
      <c r="AB11" s="17" t="s">
        <v>92</v>
      </c>
      <c r="AC11" s="19"/>
      <c r="AD11" s="19"/>
      <c r="AE11" s="17" t="s">
        <v>92</v>
      </c>
      <c r="AF11" s="17" t="s">
        <v>92</v>
      </c>
      <c r="AG11" s="17" t="s">
        <v>92</v>
      </c>
    </row>
    <row r="12" spans="1:33" ht="18">
      <c r="A12" s="1">
        <v>10</v>
      </c>
      <c r="B12" s="1" t="s">
        <v>12</v>
      </c>
      <c r="C12" s="17" t="s">
        <v>92</v>
      </c>
      <c r="D12" s="16" t="s">
        <v>25</v>
      </c>
      <c r="E12" s="16" t="s">
        <v>25</v>
      </c>
      <c r="F12" s="16" t="s">
        <v>25</v>
      </c>
      <c r="G12" s="16" t="s">
        <v>25</v>
      </c>
      <c r="H12" s="19"/>
      <c r="I12" s="19"/>
      <c r="J12" s="16" t="s">
        <v>25</v>
      </c>
      <c r="K12" s="4" t="s">
        <v>50</v>
      </c>
      <c r="L12" s="16" t="s">
        <v>25</v>
      </c>
      <c r="M12" s="16" t="s">
        <v>25</v>
      </c>
      <c r="N12" s="17" t="s">
        <v>92</v>
      </c>
      <c r="O12" s="19"/>
      <c r="P12" s="19"/>
      <c r="Q12" s="17" t="s">
        <v>92</v>
      </c>
      <c r="R12" s="17" t="s">
        <v>92</v>
      </c>
      <c r="S12" s="17" t="s">
        <v>92</v>
      </c>
      <c r="T12" s="17" t="s">
        <v>92</v>
      </c>
      <c r="U12" s="17" t="s">
        <v>92</v>
      </c>
      <c r="V12" s="19"/>
      <c r="W12" s="19"/>
      <c r="X12" s="17" t="s">
        <v>92</v>
      </c>
      <c r="Y12" s="17" t="s">
        <v>92</v>
      </c>
      <c r="Z12" s="17" t="s">
        <v>92</v>
      </c>
      <c r="AA12" s="19"/>
      <c r="AB12" s="17" t="s">
        <v>92</v>
      </c>
      <c r="AC12" s="19"/>
      <c r="AD12" s="19"/>
      <c r="AE12" s="17" t="s">
        <v>92</v>
      </c>
      <c r="AF12" s="17" t="s">
        <v>92</v>
      </c>
      <c r="AG12" s="17" t="s">
        <v>92</v>
      </c>
    </row>
    <row r="13" spans="1:33">
      <c r="A13" s="1">
        <v>11</v>
      </c>
      <c r="B13" s="1" t="s">
        <v>13</v>
      </c>
      <c r="C13" s="17" t="s">
        <v>92</v>
      </c>
      <c r="D13" s="17" t="s">
        <v>92</v>
      </c>
      <c r="E13" s="17" t="s">
        <v>92</v>
      </c>
      <c r="F13" s="17" t="s">
        <v>92</v>
      </c>
      <c r="G13" s="17" t="s">
        <v>92</v>
      </c>
      <c r="H13" s="19"/>
      <c r="I13" s="19"/>
      <c r="J13" s="17" t="s">
        <v>92</v>
      </c>
      <c r="K13" s="17" t="s">
        <v>92</v>
      </c>
      <c r="L13" s="17" t="s">
        <v>92</v>
      </c>
      <c r="M13" s="17" t="s">
        <v>92</v>
      </c>
      <c r="N13" s="17" t="s">
        <v>92</v>
      </c>
      <c r="O13" s="2"/>
      <c r="P13" s="2"/>
      <c r="Q13" s="17" t="s">
        <v>92</v>
      </c>
      <c r="R13" s="17" t="s">
        <v>92</v>
      </c>
      <c r="S13" s="17" t="s">
        <v>92</v>
      </c>
      <c r="T13" s="17" t="s">
        <v>92</v>
      </c>
      <c r="U13" s="17" t="s">
        <v>92</v>
      </c>
      <c r="V13" s="2"/>
      <c r="W13" s="2"/>
      <c r="X13" s="17" t="s">
        <v>92</v>
      </c>
      <c r="Y13" s="17" t="s">
        <v>92</v>
      </c>
      <c r="Z13" s="17" t="s">
        <v>92</v>
      </c>
      <c r="AA13" s="19"/>
      <c r="AB13" s="17" t="s">
        <v>92</v>
      </c>
      <c r="AC13" s="19"/>
      <c r="AD13" s="19"/>
      <c r="AE13" s="17" t="s">
        <v>92</v>
      </c>
      <c r="AF13" s="17" t="s">
        <v>92</v>
      </c>
      <c r="AG13" s="17" t="s">
        <v>92</v>
      </c>
    </row>
    <row r="14" spans="1:33" ht="18">
      <c r="A14" s="1">
        <v>12</v>
      </c>
      <c r="B14" s="1" t="s">
        <v>14</v>
      </c>
      <c r="C14" s="16" t="s">
        <v>25</v>
      </c>
      <c r="D14" s="4" t="s">
        <v>50</v>
      </c>
      <c r="E14" s="17" t="s">
        <v>92</v>
      </c>
      <c r="F14" s="17" t="s">
        <v>92</v>
      </c>
      <c r="G14" s="17" t="s">
        <v>92</v>
      </c>
      <c r="H14" s="19"/>
      <c r="I14" s="19"/>
      <c r="J14" s="17" t="s">
        <v>92</v>
      </c>
      <c r="K14" s="17" t="s">
        <v>92</v>
      </c>
      <c r="L14" s="17" t="s">
        <v>92</v>
      </c>
      <c r="M14" s="17" t="s">
        <v>92</v>
      </c>
      <c r="N14" s="17" t="s">
        <v>92</v>
      </c>
      <c r="O14" s="2"/>
      <c r="P14" s="2"/>
      <c r="Q14" s="17" t="s">
        <v>92</v>
      </c>
      <c r="R14" s="17" t="s">
        <v>92</v>
      </c>
      <c r="S14" s="17" t="s">
        <v>92</v>
      </c>
      <c r="T14" s="17" t="s">
        <v>92</v>
      </c>
      <c r="U14" s="17" t="s">
        <v>92</v>
      </c>
      <c r="V14" s="2"/>
      <c r="W14" s="2"/>
      <c r="X14" s="17" t="s">
        <v>92</v>
      </c>
      <c r="Y14" s="17" t="s">
        <v>92</v>
      </c>
      <c r="Z14" s="17" t="s">
        <v>92</v>
      </c>
      <c r="AA14" s="19"/>
      <c r="AB14" s="17" t="s">
        <v>92</v>
      </c>
      <c r="AC14" s="19"/>
      <c r="AD14" s="19"/>
      <c r="AE14" s="17" t="s">
        <v>92</v>
      </c>
      <c r="AF14" s="17" t="s">
        <v>92</v>
      </c>
      <c r="AG14" s="17" t="s">
        <v>92</v>
      </c>
    </row>
    <row r="15" spans="1:33" ht="16.25" customHeight="1">
      <c r="A15" s="1">
        <v>13</v>
      </c>
      <c r="B15" s="1" t="s">
        <v>16</v>
      </c>
      <c r="C15" s="17" t="s">
        <v>92</v>
      </c>
      <c r="D15" s="17" t="s">
        <v>92</v>
      </c>
      <c r="E15" s="17" t="s">
        <v>92</v>
      </c>
      <c r="F15" s="17" t="s">
        <v>92</v>
      </c>
      <c r="G15" s="17" t="s">
        <v>92</v>
      </c>
      <c r="H15" s="2"/>
      <c r="I15" s="2"/>
      <c r="J15" s="17" t="s">
        <v>92</v>
      </c>
      <c r="K15" s="17" t="s">
        <v>92</v>
      </c>
      <c r="L15" s="17" t="s">
        <v>92</v>
      </c>
      <c r="M15" s="17" t="s">
        <v>92</v>
      </c>
      <c r="N15" s="17" t="s">
        <v>92</v>
      </c>
      <c r="O15" s="2"/>
      <c r="P15" s="2"/>
      <c r="Q15" s="17" t="s">
        <v>92</v>
      </c>
      <c r="R15" s="17" t="s">
        <v>92</v>
      </c>
      <c r="S15" s="17" t="s">
        <v>92</v>
      </c>
      <c r="T15" s="17" t="s">
        <v>92</v>
      </c>
      <c r="U15" s="17" t="s">
        <v>92</v>
      </c>
      <c r="V15" s="2"/>
      <c r="W15" s="2"/>
      <c r="X15" s="17" t="s">
        <v>92</v>
      </c>
      <c r="Y15" s="4" t="s">
        <v>50</v>
      </c>
      <c r="Z15" s="16" t="s">
        <v>25</v>
      </c>
      <c r="AA15" s="2"/>
      <c r="AB15" s="16" t="s">
        <v>25</v>
      </c>
      <c r="AC15" s="2"/>
      <c r="AD15" s="2"/>
      <c r="AE15" s="16" t="s">
        <v>25</v>
      </c>
      <c r="AF15" s="7" t="s">
        <v>30</v>
      </c>
      <c r="AG15" s="16" t="s">
        <v>25</v>
      </c>
    </row>
    <row r="16" spans="1:33">
      <c r="A16" s="1">
        <v>14</v>
      </c>
      <c r="B16" s="1" t="s">
        <v>60</v>
      </c>
      <c r="C16" s="17" t="s">
        <v>92</v>
      </c>
      <c r="D16" s="17" t="s">
        <v>92</v>
      </c>
      <c r="E16" s="17" t="s">
        <v>92</v>
      </c>
      <c r="F16" s="17" t="s">
        <v>92</v>
      </c>
      <c r="G16" s="17" t="s">
        <v>92</v>
      </c>
      <c r="H16" s="19"/>
      <c r="I16" s="19"/>
      <c r="J16" s="17" t="s">
        <v>92</v>
      </c>
      <c r="K16" s="17" t="s">
        <v>92</v>
      </c>
      <c r="L16" s="17" t="s">
        <v>92</v>
      </c>
      <c r="M16" s="17" t="s">
        <v>92</v>
      </c>
      <c r="N16" s="17" t="s">
        <v>92</v>
      </c>
      <c r="O16" s="2"/>
      <c r="P16" s="2"/>
      <c r="Q16" s="17" t="s">
        <v>92</v>
      </c>
      <c r="R16" s="17" t="s">
        <v>92</v>
      </c>
      <c r="S16" s="17" t="s">
        <v>92</v>
      </c>
      <c r="T16" s="17" t="s">
        <v>92</v>
      </c>
      <c r="U16" s="17" t="s">
        <v>92</v>
      </c>
      <c r="V16" s="2"/>
      <c r="W16" s="2"/>
      <c r="X16" s="17" t="s">
        <v>92</v>
      </c>
      <c r="Y16" s="17" t="s">
        <v>92</v>
      </c>
      <c r="Z16" s="17" t="s">
        <v>92</v>
      </c>
      <c r="AA16" s="19"/>
      <c r="AB16" s="17" t="s">
        <v>92</v>
      </c>
      <c r="AC16" s="19"/>
      <c r="AD16" s="19"/>
      <c r="AE16" s="17" t="s">
        <v>92</v>
      </c>
      <c r="AF16" s="17" t="s">
        <v>92</v>
      </c>
      <c r="AG16" s="17" t="s">
        <v>92</v>
      </c>
    </row>
    <row r="17" spans="1:33" ht="18">
      <c r="A17" s="1">
        <v>15</v>
      </c>
      <c r="B17" s="1" t="s">
        <v>66</v>
      </c>
      <c r="C17" s="16" t="s">
        <v>25</v>
      </c>
      <c r="D17" s="16" t="s">
        <v>25</v>
      </c>
      <c r="E17" s="16" t="s">
        <v>25</v>
      </c>
      <c r="F17" s="16" t="s">
        <v>25</v>
      </c>
      <c r="G17" s="16" t="s">
        <v>25</v>
      </c>
      <c r="H17" s="19"/>
      <c r="I17" s="19"/>
      <c r="J17" s="16" t="s">
        <v>25</v>
      </c>
      <c r="K17" s="16" t="s">
        <v>25</v>
      </c>
      <c r="L17" s="16" t="s">
        <v>25</v>
      </c>
      <c r="M17" s="16" t="s">
        <v>25</v>
      </c>
      <c r="N17" s="16" t="s">
        <v>25</v>
      </c>
      <c r="O17" s="19"/>
      <c r="P17" s="19"/>
      <c r="Q17" s="16" t="s">
        <v>25</v>
      </c>
      <c r="R17" s="16" t="s">
        <v>25</v>
      </c>
      <c r="S17" s="16" t="s">
        <v>25</v>
      </c>
      <c r="T17" s="16" t="s">
        <v>25</v>
      </c>
      <c r="U17" s="16" t="s">
        <v>25</v>
      </c>
      <c r="V17" s="19"/>
      <c r="W17" s="19"/>
      <c r="X17" s="16" t="s">
        <v>25</v>
      </c>
      <c r="Y17" s="4" t="s">
        <v>50</v>
      </c>
      <c r="Z17" s="16" t="s">
        <v>25</v>
      </c>
      <c r="AA17" s="2"/>
      <c r="AB17" s="17" t="s">
        <v>173</v>
      </c>
      <c r="AC17" s="19"/>
      <c r="AD17" s="19"/>
      <c r="AE17" s="16" t="s">
        <v>25</v>
      </c>
      <c r="AF17" s="16" t="s">
        <v>25</v>
      </c>
      <c r="AG17" s="1" t="s">
        <v>50</v>
      </c>
    </row>
    <row r="18" spans="1:33" ht="18">
      <c r="A18" s="1">
        <v>16</v>
      </c>
      <c r="B18" s="1" t="s">
        <v>87</v>
      </c>
      <c r="C18" s="16" t="s">
        <v>25</v>
      </c>
      <c r="D18" s="16" t="s">
        <v>25</v>
      </c>
      <c r="E18" s="16" t="s">
        <v>25</v>
      </c>
      <c r="F18" s="16" t="s">
        <v>25</v>
      </c>
      <c r="G18" s="16" t="s">
        <v>25</v>
      </c>
      <c r="H18" s="19"/>
      <c r="I18" s="19"/>
      <c r="J18" s="16" t="s">
        <v>25</v>
      </c>
      <c r="K18" s="16" t="s">
        <v>25</v>
      </c>
      <c r="L18" s="16" t="s">
        <v>25</v>
      </c>
      <c r="M18" s="16" t="s">
        <v>25</v>
      </c>
      <c r="N18" s="16" t="s">
        <v>25</v>
      </c>
      <c r="O18" s="19"/>
      <c r="P18" s="19"/>
      <c r="Q18" s="16" t="s">
        <v>25</v>
      </c>
      <c r="R18" s="16" t="s">
        <v>25</v>
      </c>
      <c r="S18" s="16" t="s">
        <v>25</v>
      </c>
      <c r="T18" s="16" t="s">
        <v>25</v>
      </c>
      <c r="U18" s="16" t="s">
        <v>25</v>
      </c>
      <c r="V18" s="19"/>
      <c r="W18" s="19"/>
      <c r="X18" s="16" t="s">
        <v>25</v>
      </c>
      <c r="Y18" s="4" t="s">
        <v>50</v>
      </c>
      <c r="Z18" s="16" t="s">
        <v>25</v>
      </c>
      <c r="AA18" s="2"/>
      <c r="AB18" s="17" t="s">
        <v>173</v>
      </c>
      <c r="AC18" s="19"/>
      <c r="AD18" s="19"/>
      <c r="AE18" s="16" t="s">
        <v>25</v>
      </c>
      <c r="AF18" s="16" t="s">
        <v>25</v>
      </c>
      <c r="AG18" s="1" t="s">
        <v>50</v>
      </c>
    </row>
    <row r="19" spans="1:33" ht="18">
      <c r="A19" s="1">
        <v>17</v>
      </c>
      <c r="B19" s="1" t="s">
        <v>104</v>
      </c>
      <c r="C19" s="16" t="s">
        <v>25</v>
      </c>
      <c r="D19" s="16" t="s">
        <v>25</v>
      </c>
      <c r="E19" s="16" t="s">
        <v>25</v>
      </c>
      <c r="F19" s="16" t="s">
        <v>25</v>
      </c>
      <c r="G19" s="16" t="s">
        <v>25</v>
      </c>
      <c r="H19" s="19"/>
      <c r="I19" s="19"/>
      <c r="J19" s="16" t="s">
        <v>25</v>
      </c>
      <c r="K19" s="16" t="s">
        <v>25</v>
      </c>
      <c r="L19" s="16" t="s">
        <v>25</v>
      </c>
      <c r="M19" s="16" t="s">
        <v>25</v>
      </c>
      <c r="N19" s="16" t="s">
        <v>25</v>
      </c>
      <c r="O19" s="19"/>
      <c r="P19" s="19"/>
      <c r="Q19" s="16" t="s">
        <v>25</v>
      </c>
      <c r="R19" s="16" t="s">
        <v>25</v>
      </c>
      <c r="S19" s="16" t="s">
        <v>25</v>
      </c>
      <c r="T19" s="16" t="s">
        <v>25</v>
      </c>
      <c r="U19" s="16" t="s">
        <v>25</v>
      </c>
      <c r="V19" s="19"/>
      <c r="W19" s="19"/>
      <c r="X19" s="16" t="s">
        <v>25</v>
      </c>
      <c r="Y19" s="16" t="s">
        <v>25</v>
      </c>
      <c r="Z19" s="16" t="s">
        <v>25</v>
      </c>
      <c r="AA19" s="2"/>
      <c r="AB19" s="16" t="s">
        <v>25</v>
      </c>
      <c r="AC19" s="19"/>
      <c r="AD19" s="19"/>
      <c r="AE19" s="16" t="s">
        <v>25</v>
      </c>
      <c r="AF19" s="16" t="s">
        <v>25</v>
      </c>
      <c r="AG19" s="16" t="s">
        <v>25</v>
      </c>
    </row>
    <row r="20" spans="1:33">
      <c r="A20" s="1">
        <v>18</v>
      </c>
      <c r="B20" s="1" t="s">
        <v>139</v>
      </c>
      <c r="C20" s="17" t="s">
        <v>140</v>
      </c>
      <c r="D20" s="17" t="s">
        <v>140</v>
      </c>
      <c r="E20" s="17" t="s">
        <v>140</v>
      </c>
      <c r="F20" s="17" t="s">
        <v>140</v>
      </c>
      <c r="G20" s="17" t="s">
        <v>140</v>
      </c>
      <c r="H20" s="19"/>
      <c r="I20" s="19"/>
      <c r="J20" s="17" t="s">
        <v>140</v>
      </c>
      <c r="K20" s="17" t="s">
        <v>140</v>
      </c>
      <c r="L20" s="17" t="s">
        <v>140</v>
      </c>
      <c r="M20" s="17" t="s">
        <v>140</v>
      </c>
      <c r="N20" s="17" t="s">
        <v>140</v>
      </c>
      <c r="O20" s="19"/>
      <c r="P20" s="19"/>
      <c r="Q20" s="17" t="s">
        <v>140</v>
      </c>
      <c r="R20" s="17" t="s">
        <v>140</v>
      </c>
      <c r="S20" s="17" t="s">
        <v>140</v>
      </c>
      <c r="T20" s="17" t="s">
        <v>140</v>
      </c>
      <c r="U20" s="17" t="s">
        <v>140</v>
      </c>
      <c r="V20" s="19"/>
      <c r="W20" s="19"/>
      <c r="X20" s="17" t="s">
        <v>140</v>
      </c>
      <c r="Y20" s="17" t="s">
        <v>140</v>
      </c>
      <c r="Z20" s="17" t="s">
        <v>140</v>
      </c>
      <c r="AA20" s="19"/>
      <c r="AB20" s="17" t="s">
        <v>140</v>
      </c>
      <c r="AC20" s="19"/>
      <c r="AD20" s="19"/>
      <c r="AE20" s="17" t="s">
        <v>140</v>
      </c>
      <c r="AF20" s="17" t="s">
        <v>140</v>
      </c>
      <c r="AG20" s="17" t="s">
        <v>140</v>
      </c>
    </row>
    <row r="21" spans="1:33" ht="18" hidden="1">
      <c r="A21" s="1">
        <v>19</v>
      </c>
      <c r="B21" s="1" t="s">
        <v>167</v>
      </c>
      <c r="C21" s="16" t="s">
        <v>25</v>
      </c>
      <c r="D21" s="1"/>
      <c r="E21" s="1"/>
      <c r="F21" s="1"/>
      <c r="G21" s="1"/>
      <c r="H21" s="19"/>
      <c r="I21" s="19"/>
      <c r="J21" s="1"/>
      <c r="K21" s="1"/>
      <c r="L21" s="18"/>
      <c r="M21" s="1"/>
      <c r="N21" s="1"/>
      <c r="O21" s="19"/>
      <c r="P21" s="19"/>
      <c r="Q21" s="1"/>
      <c r="R21" s="1"/>
      <c r="S21" s="1"/>
      <c r="T21" s="1"/>
      <c r="U21" s="1"/>
      <c r="V21" s="19"/>
      <c r="W21" s="19"/>
      <c r="X21" s="1"/>
      <c r="Y21" s="1"/>
      <c r="Z21" s="1"/>
      <c r="AA21" s="1"/>
      <c r="AB21" s="1"/>
      <c r="AC21" s="19"/>
      <c r="AD21" s="19"/>
      <c r="AE21" s="1"/>
      <c r="AF21" s="1"/>
      <c r="AG21" s="1"/>
    </row>
    <row r="22" spans="1:33" ht="18">
      <c r="A22" s="20" t="s">
        <v>25</v>
      </c>
      <c r="B22" t="s">
        <v>23</v>
      </c>
    </row>
    <row r="23" spans="1:33">
      <c r="A23" s="4" t="s">
        <v>50</v>
      </c>
      <c r="B23" t="s">
        <v>24</v>
      </c>
    </row>
    <row r="24" spans="1:33">
      <c r="A24" s="7" t="s">
        <v>30</v>
      </c>
      <c r="B24" s="6" t="s">
        <v>29</v>
      </c>
    </row>
    <row r="26" spans="1:33">
      <c r="A26" s="11" t="s">
        <v>43</v>
      </c>
    </row>
    <row r="27" spans="1:33">
      <c r="A27" s="12" t="s">
        <v>44</v>
      </c>
    </row>
    <row r="28" spans="1:33">
      <c r="A28" s="12" t="s">
        <v>45</v>
      </c>
    </row>
    <row r="29" spans="1:33">
      <c r="A29" s="12" t="s">
        <v>41</v>
      </c>
    </row>
    <row r="30" spans="1:33">
      <c r="A30" s="12" t="s">
        <v>46</v>
      </c>
    </row>
    <row r="31" spans="1:33">
      <c r="A31" s="12" t="s">
        <v>47</v>
      </c>
    </row>
    <row r="32" spans="1:33">
      <c r="A32" s="12" t="s">
        <v>42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H20"/>
  <sheetViews>
    <sheetView workbookViewId="0">
      <selection activeCell="AM15" sqref="AM15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3" width="8.83203125" hidden="1" customWidth="1"/>
  </cols>
  <sheetData>
    <row r="1" spans="1:34" ht="28" customHeight="1">
      <c r="A1" s="71" t="s">
        <v>17</v>
      </c>
      <c r="B1" s="71"/>
      <c r="C1" s="64" t="s">
        <v>80</v>
      </c>
      <c r="D1" s="68">
        <v>45627</v>
      </c>
      <c r="E1" s="68">
        <v>45628</v>
      </c>
      <c r="F1" s="68">
        <v>45629</v>
      </c>
      <c r="G1" s="68">
        <v>45630</v>
      </c>
      <c r="H1" s="68">
        <v>45631</v>
      </c>
      <c r="I1" s="68">
        <v>45632</v>
      </c>
      <c r="J1" s="68">
        <v>45633</v>
      </c>
      <c r="K1" s="68">
        <v>45634</v>
      </c>
      <c r="L1" s="68">
        <v>45635</v>
      </c>
      <c r="M1" s="68">
        <v>45636</v>
      </c>
      <c r="N1" s="68">
        <v>45637</v>
      </c>
      <c r="O1" s="68">
        <v>45638</v>
      </c>
      <c r="P1" s="68">
        <v>45639</v>
      </c>
      <c r="Q1" s="68">
        <v>45640</v>
      </c>
      <c r="R1" s="68">
        <v>45641</v>
      </c>
      <c r="S1" s="68">
        <v>45642</v>
      </c>
      <c r="T1" s="68">
        <v>45643</v>
      </c>
      <c r="U1" s="68">
        <v>45644</v>
      </c>
      <c r="V1" s="68">
        <v>45645</v>
      </c>
      <c r="W1" s="68">
        <v>45646</v>
      </c>
      <c r="X1" s="68">
        <v>45647</v>
      </c>
      <c r="Y1" s="68">
        <v>45648</v>
      </c>
      <c r="Z1" s="68">
        <v>45649</v>
      </c>
      <c r="AA1" s="68">
        <v>45650</v>
      </c>
      <c r="AB1" s="68">
        <v>45651</v>
      </c>
      <c r="AC1" s="68">
        <v>45652</v>
      </c>
      <c r="AD1" s="68">
        <v>45653</v>
      </c>
      <c r="AE1" s="68">
        <v>45654</v>
      </c>
      <c r="AF1" s="68">
        <v>45655</v>
      </c>
      <c r="AG1" s="68">
        <v>45656</v>
      </c>
      <c r="AH1" s="68">
        <v>45657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8">
        <v>0</v>
      </c>
      <c r="V3" s="18">
        <v>0</v>
      </c>
      <c r="W3" s="2"/>
      <c r="X3" s="2"/>
      <c r="Y3" s="1">
        <v>0</v>
      </c>
      <c r="Z3" s="1">
        <v>0</v>
      </c>
      <c r="AA3" s="1">
        <v>0</v>
      </c>
      <c r="AB3" s="2"/>
      <c r="AC3" s="1">
        <v>0</v>
      </c>
      <c r="AD3" s="2"/>
      <c r="AE3" s="2"/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20" si="0">SUM(D4:AH4)</f>
        <v>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4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8">
        <v>0</v>
      </c>
      <c r="V4" s="18">
        <v>0</v>
      </c>
      <c r="W4" s="2"/>
      <c r="X4" s="2"/>
      <c r="Y4" s="1">
        <v>0</v>
      </c>
      <c r="Z4" s="1">
        <v>0</v>
      </c>
      <c r="AA4" s="1">
        <v>0</v>
      </c>
      <c r="AB4" s="23"/>
      <c r="AC4" s="1">
        <v>0</v>
      </c>
      <c r="AD4" s="2"/>
      <c r="AE4" s="2"/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/>
      <c r="J5" s="2"/>
      <c r="K5" s="1">
        <v>8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8">
        <v>0</v>
      </c>
      <c r="V5" s="18">
        <v>0</v>
      </c>
      <c r="W5" s="2"/>
      <c r="X5" s="2"/>
      <c r="Y5" s="1">
        <v>0</v>
      </c>
      <c r="Z5" s="1">
        <v>0</v>
      </c>
      <c r="AA5" s="1">
        <v>0</v>
      </c>
      <c r="AB5" s="2"/>
      <c r="AC5" s="1">
        <v>0</v>
      </c>
      <c r="AD5" s="2"/>
      <c r="AE5" s="2"/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16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/>
      <c r="J6" s="2"/>
      <c r="K6" s="1">
        <v>0</v>
      </c>
      <c r="L6" s="1">
        <v>0</v>
      </c>
      <c r="M6" s="1">
        <v>0</v>
      </c>
      <c r="N6" s="1">
        <v>0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8">
        <v>0</v>
      </c>
      <c r="V6" s="18">
        <v>16</v>
      </c>
      <c r="W6" s="2"/>
      <c r="X6" s="2"/>
      <c r="Y6" s="1">
        <v>0</v>
      </c>
      <c r="Z6" s="1">
        <v>0</v>
      </c>
      <c r="AA6" s="1">
        <v>0</v>
      </c>
      <c r="AB6" s="2"/>
      <c r="AC6" s="1">
        <v>0</v>
      </c>
      <c r="AD6" s="2"/>
      <c r="AE6" s="2"/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9"/>
      <c r="J7" s="19"/>
      <c r="K7" s="1">
        <v>0</v>
      </c>
      <c r="L7" s="1">
        <v>0</v>
      </c>
      <c r="M7" s="1">
        <v>0</v>
      </c>
      <c r="N7" s="1">
        <v>0</v>
      </c>
      <c r="O7" s="1">
        <v>0</v>
      </c>
      <c r="P7" s="19"/>
      <c r="Q7" s="19"/>
      <c r="R7" s="1">
        <v>0</v>
      </c>
      <c r="S7" s="1">
        <v>0</v>
      </c>
      <c r="T7" s="1">
        <v>0</v>
      </c>
      <c r="U7" s="18">
        <v>0</v>
      </c>
      <c r="V7" s="18">
        <v>0</v>
      </c>
      <c r="W7" s="19"/>
      <c r="X7" s="19"/>
      <c r="Y7" s="1">
        <v>0</v>
      </c>
      <c r="Z7" s="1">
        <v>0</v>
      </c>
      <c r="AA7" s="1">
        <v>0</v>
      </c>
      <c r="AB7" s="2"/>
      <c r="AC7" s="1">
        <v>0</v>
      </c>
      <c r="AD7" s="19"/>
      <c r="AE7" s="19"/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/>
      <c r="J8" s="2"/>
      <c r="K8" s="1">
        <v>0</v>
      </c>
      <c r="L8" s="1">
        <v>0</v>
      </c>
      <c r="M8" s="1">
        <v>0</v>
      </c>
      <c r="N8" s="1">
        <v>0</v>
      </c>
      <c r="O8" s="1">
        <v>0</v>
      </c>
      <c r="P8" s="2"/>
      <c r="Q8" s="2"/>
      <c r="R8" s="1">
        <v>0</v>
      </c>
      <c r="S8" s="1">
        <v>0</v>
      </c>
      <c r="T8" s="1">
        <v>0</v>
      </c>
      <c r="U8" s="18">
        <v>0</v>
      </c>
      <c r="V8" s="18">
        <v>4</v>
      </c>
      <c r="W8" s="2"/>
      <c r="X8" s="2"/>
      <c r="Y8" s="1">
        <v>0</v>
      </c>
      <c r="Z8" s="1">
        <v>0</v>
      </c>
      <c r="AA8" s="1">
        <v>0</v>
      </c>
      <c r="AB8" s="2"/>
      <c r="AC8" s="1">
        <v>0</v>
      </c>
      <c r="AD8" s="2"/>
      <c r="AE8" s="2"/>
      <c r="AF8" s="1">
        <v>0</v>
      </c>
      <c r="AG8" s="1">
        <v>0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28</v>
      </c>
      <c r="D9" s="1">
        <v>0</v>
      </c>
      <c r="E9" s="1">
        <v>0</v>
      </c>
      <c r="F9" s="1">
        <v>16</v>
      </c>
      <c r="G9" s="1">
        <v>0</v>
      </c>
      <c r="H9" s="1">
        <v>0</v>
      </c>
      <c r="I9" s="19"/>
      <c r="J9" s="19"/>
      <c r="K9" s="1">
        <v>0</v>
      </c>
      <c r="L9" s="1">
        <v>8</v>
      </c>
      <c r="M9" s="1">
        <v>0</v>
      </c>
      <c r="N9" s="1">
        <v>0</v>
      </c>
      <c r="O9" s="1">
        <v>4</v>
      </c>
      <c r="P9" s="19"/>
      <c r="Q9" s="19"/>
      <c r="R9" s="1">
        <v>0</v>
      </c>
      <c r="S9" s="1">
        <v>0</v>
      </c>
      <c r="T9" s="1">
        <v>0</v>
      </c>
      <c r="U9" s="18">
        <v>0</v>
      </c>
      <c r="V9" s="18">
        <v>0</v>
      </c>
      <c r="W9" s="19"/>
      <c r="X9" s="19"/>
      <c r="Y9" s="1">
        <v>0</v>
      </c>
      <c r="Z9" s="1">
        <v>0</v>
      </c>
      <c r="AA9" s="1">
        <v>0</v>
      </c>
      <c r="AB9" s="2"/>
      <c r="AC9" s="1">
        <v>0</v>
      </c>
      <c r="AD9" s="19"/>
      <c r="AE9" s="19"/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8">
        <v>0</v>
      </c>
      <c r="V10" s="18">
        <v>0</v>
      </c>
      <c r="W10" s="2"/>
      <c r="X10" s="2"/>
      <c r="Y10" s="1">
        <v>0</v>
      </c>
      <c r="Z10" s="1">
        <v>0</v>
      </c>
      <c r="AA10" s="1">
        <v>0</v>
      </c>
      <c r="AB10" s="2"/>
      <c r="AC10" s="1">
        <v>0</v>
      </c>
      <c r="AD10" s="2"/>
      <c r="AE10" s="2"/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/>
      <c r="J11" s="2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8">
        <v>0</v>
      </c>
      <c r="V11" s="18">
        <v>0</v>
      </c>
      <c r="W11" s="2"/>
      <c r="X11" s="2"/>
      <c r="Y11" s="1">
        <v>0</v>
      </c>
      <c r="Z11" s="1">
        <v>0</v>
      </c>
      <c r="AA11" s="1">
        <v>0</v>
      </c>
      <c r="AB11" s="23"/>
      <c r="AC11" s="1">
        <v>0</v>
      </c>
      <c r="AD11" s="2"/>
      <c r="AE11" s="2"/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16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9"/>
      <c r="J12" s="19"/>
      <c r="K12" s="1">
        <v>0</v>
      </c>
      <c r="L12" s="1">
        <v>16</v>
      </c>
      <c r="M12" s="1">
        <v>0</v>
      </c>
      <c r="N12" s="1">
        <v>0</v>
      </c>
      <c r="O12" s="1">
        <v>0</v>
      </c>
      <c r="P12" s="19"/>
      <c r="Q12" s="19"/>
      <c r="R12" s="1">
        <v>0</v>
      </c>
      <c r="S12" s="1">
        <v>0</v>
      </c>
      <c r="T12" s="1">
        <v>0</v>
      </c>
      <c r="U12" s="18">
        <v>0</v>
      </c>
      <c r="V12" s="18">
        <v>0</v>
      </c>
      <c r="W12" s="19"/>
      <c r="X12" s="19"/>
      <c r="Y12" s="1">
        <v>0</v>
      </c>
      <c r="Z12" s="1">
        <v>0</v>
      </c>
      <c r="AA12" s="1">
        <v>0</v>
      </c>
      <c r="AB12" s="2"/>
      <c r="AC12" s="1">
        <v>0</v>
      </c>
      <c r="AD12" s="19"/>
      <c r="AE12" s="19"/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/>
      <c r="J13" s="2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2"/>
      <c r="Q13" s="2"/>
      <c r="R13" s="1">
        <v>0</v>
      </c>
      <c r="S13" s="1">
        <v>0</v>
      </c>
      <c r="T13" s="1">
        <v>0</v>
      </c>
      <c r="U13" s="18">
        <v>0</v>
      </c>
      <c r="V13" s="18">
        <v>0</v>
      </c>
      <c r="W13" s="2"/>
      <c r="X13" s="2"/>
      <c r="Y13" s="1">
        <v>0</v>
      </c>
      <c r="Z13" s="1">
        <v>0</v>
      </c>
      <c r="AA13" s="1">
        <v>0</v>
      </c>
      <c r="AB13" s="2"/>
      <c r="AC13" s="1">
        <v>0</v>
      </c>
      <c r="AD13" s="2"/>
      <c r="AE13" s="2"/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16</v>
      </c>
      <c r="D14" s="1">
        <v>0</v>
      </c>
      <c r="E14" s="1">
        <v>16</v>
      </c>
      <c r="F14" s="1">
        <v>0</v>
      </c>
      <c r="G14" s="1">
        <v>0</v>
      </c>
      <c r="H14" s="1">
        <v>0</v>
      </c>
      <c r="I14" s="19"/>
      <c r="J14" s="19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9"/>
      <c r="Q14" s="19"/>
      <c r="R14" s="1">
        <v>0</v>
      </c>
      <c r="S14" s="1">
        <v>0</v>
      </c>
      <c r="T14" s="1">
        <v>0</v>
      </c>
      <c r="U14" s="18">
        <v>0</v>
      </c>
      <c r="V14" s="18">
        <v>0</v>
      </c>
      <c r="W14" s="19"/>
      <c r="X14" s="19"/>
      <c r="Y14" s="1">
        <v>0</v>
      </c>
      <c r="Z14" s="1">
        <v>0</v>
      </c>
      <c r="AA14" s="1">
        <v>0</v>
      </c>
      <c r="AB14" s="23"/>
      <c r="AC14" s="1">
        <v>0</v>
      </c>
      <c r="AD14" s="19"/>
      <c r="AE14" s="19"/>
      <c r="AF14" s="1">
        <v>0</v>
      </c>
      <c r="AG14" s="1">
        <v>0</v>
      </c>
      <c r="AH14" s="1">
        <v>0</v>
      </c>
    </row>
    <row r="15" spans="1:34" ht="16.25" customHeight="1">
      <c r="A15" s="1">
        <v>13</v>
      </c>
      <c r="B15" s="1" t="s">
        <v>16</v>
      </c>
      <c r="C15" s="1">
        <f t="shared" si="0"/>
        <v>10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/>
      <c r="J15" s="2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/>
      <c r="Q15" s="2"/>
      <c r="R15" s="1">
        <v>0</v>
      </c>
      <c r="S15" s="1">
        <v>0</v>
      </c>
      <c r="T15" s="1">
        <v>0</v>
      </c>
      <c r="U15" s="18">
        <v>0</v>
      </c>
      <c r="V15" s="18">
        <v>0</v>
      </c>
      <c r="W15" s="2"/>
      <c r="X15" s="2"/>
      <c r="Y15" s="1">
        <v>0</v>
      </c>
      <c r="Z15" s="1">
        <v>8</v>
      </c>
      <c r="AA15" s="1">
        <v>0</v>
      </c>
      <c r="AB15" s="2"/>
      <c r="AC15" s="1">
        <v>0</v>
      </c>
      <c r="AD15" s="2"/>
      <c r="AE15" s="2"/>
      <c r="AF15" s="1">
        <v>0</v>
      </c>
      <c r="AG15" s="1">
        <v>2</v>
      </c>
      <c r="AH15" s="1">
        <v>0</v>
      </c>
    </row>
    <row r="16" spans="1:34">
      <c r="A16" s="1">
        <v>14</v>
      </c>
      <c r="B16" s="1" t="s">
        <v>60</v>
      </c>
      <c r="C16" s="1">
        <f t="shared" si="0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/>
      <c r="J16" s="2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8">
        <v>0</v>
      </c>
      <c r="V16" s="18">
        <v>0</v>
      </c>
      <c r="W16" s="2"/>
      <c r="X16" s="2"/>
      <c r="Y16" s="1">
        <v>0</v>
      </c>
      <c r="Z16" s="1">
        <v>0</v>
      </c>
      <c r="AA16" s="1">
        <v>0</v>
      </c>
      <c r="AB16" s="2"/>
      <c r="AC16" s="1">
        <v>0</v>
      </c>
      <c r="AD16" s="2"/>
      <c r="AE16" s="2"/>
      <c r="AF16" s="1">
        <v>0</v>
      </c>
      <c r="AG16" s="1">
        <v>0</v>
      </c>
      <c r="AH16" s="1">
        <v>0</v>
      </c>
    </row>
    <row r="17" spans="1:34">
      <c r="A17" s="1">
        <v>15</v>
      </c>
      <c r="B17" s="1" t="s">
        <v>66</v>
      </c>
      <c r="C17" s="1">
        <f t="shared" si="0"/>
        <v>48</v>
      </c>
      <c r="D17" s="1">
        <v>0</v>
      </c>
      <c r="E17" s="1">
        <v>0</v>
      </c>
      <c r="F17" s="1">
        <v>0</v>
      </c>
      <c r="G17" s="1">
        <v>0</v>
      </c>
      <c r="H17" s="1">
        <v>8</v>
      </c>
      <c r="I17" s="19"/>
      <c r="J17" s="19"/>
      <c r="K17" s="1">
        <v>0</v>
      </c>
      <c r="L17" s="1">
        <v>0</v>
      </c>
      <c r="M17" s="1">
        <v>0</v>
      </c>
      <c r="N17" s="1">
        <v>8</v>
      </c>
      <c r="O17" s="1">
        <v>0</v>
      </c>
      <c r="P17" s="19"/>
      <c r="Q17" s="19"/>
      <c r="R17" s="1">
        <v>0</v>
      </c>
      <c r="S17" s="1">
        <v>0</v>
      </c>
      <c r="T17" s="1">
        <v>0</v>
      </c>
      <c r="U17" s="18">
        <v>0</v>
      </c>
      <c r="V17" s="18">
        <v>0</v>
      </c>
      <c r="W17" s="19"/>
      <c r="X17" s="19"/>
      <c r="Y17" s="1">
        <v>0</v>
      </c>
      <c r="Z17" s="1">
        <v>16</v>
      </c>
      <c r="AA17" s="1">
        <v>0</v>
      </c>
      <c r="AB17" s="2"/>
      <c r="AC17" s="1">
        <v>0</v>
      </c>
      <c r="AD17" s="19"/>
      <c r="AE17" s="19"/>
      <c r="AF17" s="1">
        <v>0</v>
      </c>
      <c r="AG17" s="1">
        <v>0</v>
      </c>
      <c r="AH17" s="1">
        <v>16</v>
      </c>
    </row>
    <row r="18" spans="1:34">
      <c r="A18" s="1">
        <v>16</v>
      </c>
      <c r="B18" s="1" t="s">
        <v>87</v>
      </c>
      <c r="C18" s="1">
        <f t="shared" si="0"/>
        <v>48</v>
      </c>
      <c r="D18" s="1">
        <v>0</v>
      </c>
      <c r="E18" s="1">
        <v>0</v>
      </c>
      <c r="F18" s="1">
        <v>0</v>
      </c>
      <c r="G18" s="1">
        <v>0</v>
      </c>
      <c r="H18" s="1">
        <v>8</v>
      </c>
      <c r="I18" s="19"/>
      <c r="J18" s="19"/>
      <c r="K18" s="1">
        <v>0</v>
      </c>
      <c r="L18" s="1">
        <v>0</v>
      </c>
      <c r="M18" s="1">
        <v>0</v>
      </c>
      <c r="N18" s="1">
        <v>8</v>
      </c>
      <c r="O18" s="1">
        <v>0</v>
      </c>
      <c r="P18" s="19"/>
      <c r="Q18" s="19"/>
      <c r="R18" s="1">
        <v>0</v>
      </c>
      <c r="S18" s="1">
        <v>0</v>
      </c>
      <c r="T18" s="1">
        <v>0</v>
      </c>
      <c r="U18" s="18">
        <v>0</v>
      </c>
      <c r="V18" s="18">
        <v>0</v>
      </c>
      <c r="W18" s="19"/>
      <c r="X18" s="19"/>
      <c r="Y18" s="1">
        <v>0</v>
      </c>
      <c r="Z18" s="1">
        <v>16</v>
      </c>
      <c r="AA18" s="1">
        <v>0</v>
      </c>
      <c r="AB18" s="2"/>
      <c r="AC18" s="1">
        <v>0</v>
      </c>
      <c r="AD18" s="19"/>
      <c r="AE18" s="19"/>
      <c r="AF18" s="1">
        <v>0</v>
      </c>
      <c r="AG18" s="1">
        <v>0</v>
      </c>
      <c r="AH18" s="1">
        <v>16</v>
      </c>
    </row>
    <row r="19" spans="1:34">
      <c r="A19" s="1">
        <v>17</v>
      </c>
      <c r="B19" s="1" t="s">
        <v>104</v>
      </c>
      <c r="C19" s="1">
        <f t="shared" si="0"/>
        <v>12</v>
      </c>
      <c r="D19" s="1">
        <v>0</v>
      </c>
      <c r="E19" s="1">
        <v>0</v>
      </c>
      <c r="F19" s="1">
        <v>0</v>
      </c>
      <c r="G19" s="1">
        <v>0</v>
      </c>
      <c r="H19" s="1">
        <v>4</v>
      </c>
      <c r="I19" s="19"/>
      <c r="J19" s="19"/>
      <c r="K19" s="1">
        <v>0</v>
      </c>
      <c r="L19" s="1">
        <v>0</v>
      </c>
      <c r="M19" s="1">
        <v>0</v>
      </c>
      <c r="N19" s="1">
        <v>8</v>
      </c>
      <c r="O19" s="1">
        <v>0</v>
      </c>
      <c r="P19" s="19"/>
      <c r="Q19" s="19"/>
      <c r="R19" s="1">
        <v>0</v>
      </c>
      <c r="S19" s="1">
        <v>0</v>
      </c>
      <c r="T19" s="1">
        <v>0</v>
      </c>
      <c r="U19" s="18">
        <v>0</v>
      </c>
      <c r="V19" s="18">
        <v>0</v>
      </c>
      <c r="W19" s="19"/>
      <c r="X19" s="19"/>
      <c r="Y19" s="1">
        <v>0</v>
      </c>
      <c r="Z19" s="1">
        <v>0</v>
      </c>
      <c r="AA19" s="1">
        <v>0</v>
      </c>
      <c r="AB19" s="2"/>
      <c r="AC19" s="1">
        <v>0</v>
      </c>
      <c r="AD19" s="19"/>
      <c r="AE19" s="19"/>
      <c r="AF19" s="1">
        <v>0</v>
      </c>
      <c r="AG19" s="1">
        <v>0</v>
      </c>
      <c r="AH19" s="1">
        <v>0</v>
      </c>
    </row>
    <row r="20" spans="1:34">
      <c r="A20" s="1">
        <v>18</v>
      </c>
      <c r="B20" s="1" t="s">
        <v>139</v>
      </c>
      <c r="C20" s="1">
        <f t="shared" si="0"/>
        <v>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9"/>
      <c r="J20" s="19"/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9"/>
      <c r="Q20" s="19"/>
      <c r="R20" s="1">
        <v>0</v>
      </c>
      <c r="S20" s="1">
        <v>0</v>
      </c>
      <c r="T20" s="1">
        <v>0</v>
      </c>
      <c r="U20" s="18">
        <v>0</v>
      </c>
      <c r="V20" s="18">
        <v>0</v>
      </c>
      <c r="W20" s="19"/>
      <c r="X20" s="19"/>
      <c r="Y20" s="1">
        <v>0</v>
      </c>
      <c r="Z20" s="1">
        <v>0</v>
      </c>
      <c r="AA20" s="1">
        <v>0</v>
      </c>
      <c r="AB20" s="2"/>
      <c r="AC20" s="1">
        <v>0</v>
      </c>
      <c r="AD20" s="19"/>
      <c r="AE20" s="19"/>
      <c r="AF20" s="1">
        <v>0</v>
      </c>
      <c r="AG20" s="1">
        <v>0</v>
      </c>
      <c r="AH20" s="1">
        <v>3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  <pageSetUpPr fitToPage="1"/>
  </sheetPr>
  <dimension ref="A1:AH26"/>
  <sheetViews>
    <sheetView zoomScaleNormal="100" workbookViewId="0">
      <selection activeCell="A16" sqref="A16:XFD16"/>
    </sheetView>
  </sheetViews>
  <sheetFormatPr baseColWidth="10" defaultColWidth="8.83203125" defaultRowHeight="15"/>
  <cols>
    <col min="3" max="3" width="15.33203125" customWidth="1"/>
    <col min="4" max="23" width="8.83203125" hidden="1" customWidth="1"/>
    <col min="24" max="34" width="8.83203125" customWidth="1"/>
    <col min="35" max="35" width="0" hidden="1" customWidth="1"/>
  </cols>
  <sheetData>
    <row r="1" spans="1:34" ht="28.25" customHeight="1">
      <c r="A1" s="73" t="s">
        <v>19</v>
      </c>
      <c r="B1" s="73"/>
      <c r="C1" s="48" t="s">
        <v>80</v>
      </c>
      <c r="D1" s="68">
        <v>45627</v>
      </c>
      <c r="E1" s="68">
        <v>45628</v>
      </c>
      <c r="F1" s="68">
        <v>45629</v>
      </c>
      <c r="G1" s="68">
        <v>45630</v>
      </c>
      <c r="H1" s="68">
        <v>45631</v>
      </c>
      <c r="I1" s="68">
        <v>45632</v>
      </c>
      <c r="J1" s="68">
        <v>45633</v>
      </c>
      <c r="K1" s="68">
        <v>45634</v>
      </c>
      <c r="L1" s="68">
        <v>45635</v>
      </c>
      <c r="M1" s="68">
        <v>45636</v>
      </c>
      <c r="N1" s="68">
        <v>45637</v>
      </c>
      <c r="O1" s="68">
        <v>45638</v>
      </c>
      <c r="P1" s="68">
        <v>45639</v>
      </c>
      <c r="Q1" s="68">
        <v>45640</v>
      </c>
      <c r="R1" s="68">
        <v>45641</v>
      </c>
      <c r="S1" s="68">
        <v>45642</v>
      </c>
      <c r="T1" s="68">
        <v>45643</v>
      </c>
      <c r="U1" s="68">
        <v>45644</v>
      </c>
      <c r="V1" s="68">
        <v>45645</v>
      </c>
      <c r="W1" s="68">
        <v>45646</v>
      </c>
      <c r="X1" s="68">
        <v>45647</v>
      </c>
      <c r="Y1" s="68">
        <v>45648</v>
      </c>
      <c r="Z1" s="68">
        <v>45649</v>
      </c>
      <c r="AA1" s="68">
        <v>45650</v>
      </c>
      <c r="AB1" s="68">
        <v>45651</v>
      </c>
      <c r="AC1" s="68">
        <v>45652</v>
      </c>
      <c r="AD1" s="68">
        <v>45653</v>
      </c>
      <c r="AE1" s="68">
        <v>45654</v>
      </c>
      <c r="AF1" s="68">
        <v>45655</v>
      </c>
      <c r="AG1" s="68">
        <v>45656</v>
      </c>
      <c r="AH1" s="68">
        <v>45657</v>
      </c>
    </row>
    <row r="2" spans="1:34">
      <c r="A2" s="1" t="s">
        <v>1</v>
      </c>
      <c r="B2" s="1" t="s">
        <v>2</v>
      </c>
      <c r="C2" s="4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51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8">
        <v>0</v>
      </c>
      <c r="T3" s="18">
        <v>0</v>
      </c>
      <c r="U3" s="18">
        <v>0</v>
      </c>
      <c r="V3" s="18">
        <v>0</v>
      </c>
      <c r="W3" s="2"/>
      <c r="X3" s="2"/>
      <c r="Y3" s="1">
        <v>0</v>
      </c>
      <c r="Z3" s="1">
        <v>0</v>
      </c>
      <c r="AA3" s="1">
        <v>0</v>
      </c>
      <c r="AB3" s="2"/>
      <c r="AC3" s="1">
        <v>0</v>
      </c>
      <c r="AD3" s="2"/>
      <c r="AE3" s="2"/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20" si="0">SUM(D4:AH4)</f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8">
        <v>0</v>
      </c>
      <c r="T4" s="18">
        <v>0</v>
      </c>
      <c r="U4" s="18">
        <v>0</v>
      </c>
      <c r="V4" s="18">
        <v>0</v>
      </c>
      <c r="W4" s="2"/>
      <c r="X4" s="2"/>
      <c r="Y4" s="1">
        <v>0</v>
      </c>
      <c r="Z4" s="1">
        <v>0</v>
      </c>
      <c r="AA4" s="1">
        <v>0</v>
      </c>
      <c r="AB4" s="23"/>
      <c r="AC4" s="1">
        <v>0</v>
      </c>
      <c r="AD4" s="2"/>
      <c r="AE4" s="2"/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/>
      <c r="J5" s="2"/>
      <c r="K5" s="1">
        <v>0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8">
        <v>0</v>
      </c>
      <c r="T5" s="18">
        <v>0</v>
      </c>
      <c r="U5" s="18">
        <v>0</v>
      </c>
      <c r="V5" s="18">
        <v>2</v>
      </c>
      <c r="W5" s="2"/>
      <c r="X5" s="2">
        <v>6</v>
      </c>
      <c r="Y5" s="1">
        <v>0</v>
      </c>
      <c r="Z5" s="1">
        <v>0</v>
      </c>
      <c r="AA5" s="1">
        <v>0</v>
      </c>
      <c r="AB5" s="2"/>
      <c r="AC5" s="1">
        <v>0</v>
      </c>
      <c r="AD5" s="2"/>
      <c r="AE5" s="2"/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52</v>
      </c>
      <c r="C6" s="1">
        <f t="shared" si="0"/>
        <v>12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2"/>
      <c r="J6" s="2"/>
      <c r="K6" s="1">
        <v>1</v>
      </c>
      <c r="L6" s="1">
        <v>1</v>
      </c>
      <c r="M6" s="1">
        <v>1</v>
      </c>
      <c r="N6" s="1">
        <v>1</v>
      </c>
      <c r="O6" s="1">
        <v>0</v>
      </c>
      <c r="P6" s="2"/>
      <c r="Q6" s="2"/>
      <c r="R6" s="1">
        <v>0</v>
      </c>
      <c r="S6" s="18">
        <v>0</v>
      </c>
      <c r="T6" s="18">
        <v>0</v>
      </c>
      <c r="U6" s="18">
        <v>0</v>
      </c>
      <c r="V6" s="18">
        <v>0</v>
      </c>
      <c r="W6" s="2"/>
      <c r="X6" s="2"/>
      <c r="Y6" s="1">
        <v>0</v>
      </c>
      <c r="Z6" s="1">
        <v>0</v>
      </c>
      <c r="AA6" s="1">
        <v>3</v>
      </c>
      <c r="AB6" s="2"/>
      <c r="AC6" s="1">
        <v>0</v>
      </c>
      <c r="AD6" s="2"/>
      <c r="AE6" s="2"/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96</v>
      </c>
      <c r="D7" s="34">
        <v>4</v>
      </c>
      <c r="E7" s="34">
        <v>4</v>
      </c>
      <c r="F7" s="1">
        <v>0</v>
      </c>
      <c r="G7" s="34">
        <v>4</v>
      </c>
      <c r="H7" s="34">
        <v>4</v>
      </c>
      <c r="I7" s="10">
        <v>2</v>
      </c>
      <c r="J7" s="10">
        <v>2</v>
      </c>
      <c r="K7" s="34">
        <v>4</v>
      </c>
      <c r="L7" s="34">
        <v>4</v>
      </c>
      <c r="M7" s="34">
        <v>4</v>
      </c>
      <c r="N7" s="34">
        <v>4</v>
      </c>
      <c r="O7" s="34">
        <v>4</v>
      </c>
      <c r="P7" s="10">
        <v>2</v>
      </c>
      <c r="Q7" s="2"/>
      <c r="R7" s="34">
        <v>4</v>
      </c>
      <c r="S7" s="46">
        <v>4</v>
      </c>
      <c r="T7" s="46">
        <v>4</v>
      </c>
      <c r="U7" s="18">
        <v>0</v>
      </c>
      <c r="V7" s="46">
        <v>4</v>
      </c>
      <c r="W7" s="45">
        <v>16</v>
      </c>
      <c r="X7" s="41">
        <v>2</v>
      </c>
      <c r="Y7" s="34">
        <v>4</v>
      </c>
      <c r="Z7" s="34">
        <v>4</v>
      </c>
      <c r="AA7" s="34">
        <v>4</v>
      </c>
      <c r="AB7" s="2"/>
      <c r="AC7" s="34">
        <v>4</v>
      </c>
      <c r="AD7" s="19"/>
      <c r="AE7" s="19"/>
      <c r="AF7" s="34">
        <v>4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16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2"/>
      <c r="J8" s="2"/>
      <c r="K8" s="1">
        <v>1</v>
      </c>
      <c r="L8" s="1">
        <v>1</v>
      </c>
      <c r="M8" s="1">
        <v>1</v>
      </c>
      <c r="N8" s="1">
        <v>0</v>
      </c>
      <c r="O8" s="1">
        <v>0</v>
      </c>
      <c r="P8" s="2"/>
      <c r="Q8" s="2"/>
      <c r="R8" s="1">
        <v>1</v>
      </c>
      <c r="S8" s="18">
        <v>0</v>
      </c>
      <c r="T8" s="18">
        <v>0</v>
      </c>
      <c r="U8" s="18">
        <v>2</v>
      </c>
      <c r="V8" s="18">
        <v>0</v>
      </c>
      <c r="W8" s="2"/>
      <c r="X8" s="2"/>
      <c r="Y8" s="1">
        <v>0</v>
      </c>
      <c r="Z8" s="1">
        <v>2</v>
      </c>
      <c r="AA8" s="1">
        <v>0</v>
      </c>
      <c r="AB8" s="2"/>
      <c r="AC8" s="1">
        <v>0</v>
      </c>
      <c r="AD8" s="2"/>
      <c r="AE8" s="2"/>
      <c r="AF8" s="1">
        <v>1</v>
      </c>
      <c r="AG8" s="1">
        <v>2</v>
      </c>
      <c r="AH8" s="1">
        <v>0</v>
      </c>
    </row>
    <row r="9" spans="1:34">
      <c r="A9" s="1">
        <v>0</v>
      </c>
      <c r="B9" s="1" t="s">
        <v>9</v>
      </c>
      <c r="C9" s="1">
        <f t="shared" si="0"/>
        <v>7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9"/>
      <c r="J9" s="19"/>
      <c r="K9" s="1">
        <v>1</v>
      </c>
      <c r="L9" s="1">
        <v>0</v>
      </c>
      <c r="M9" s="1">
        <v>0</v>
      </c>
      <c r="N9" s="1">
        <v>0</v>
      </c>
      <c r="O9" s="1">
        <v>0</v>
      </c>
      <c r="P9" s="19"/>
      <c r="Q9" s="19"/>
      <c r="R9" s="1">
        <v>0</v>
      </c>
      <c r="S9" s="18">
        <v>0</v>
      </c>
      <c r="T9" s="18">
        <v>0</v>
      </c>
      <c r="U9" s="18">
        <v>2</v>
      </c>
      <c r="V9" s="18">
        <v>0</v>
      </c>
      <c r="W9" s="19"/>
      <c r="X9" s="19"/>
      <c r="Y9" s="1">
        <v>0</v>
      </c>
      <c r="Z9" s="1">
        <v>0</v>
      </c>
      <c r="AA9" s="1">
        <v>2</v>
      </c>
      <c r="AB9" s="2"/>
      <c r="AC9" s="1">
        <v>0</v>
      </c>
      <c r="AD9" s="19"/>
      <c r="AE9" s="19"/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8">
        <v>0</v>
      </c>
      <c r="T10" s="18">
        <v>0</v>
      </c>
      <c r="U10" s="18">
        <v>0</v>
      </c>
      <c r="V10" s="18">
        <v>0</v>
      </c>
      <c r="W10" s="2"/>
      <c r="X10" s="2"/>
      <c r="Y10" s="1">
        <v>0</v>
      </c>
      <c r="Z10" s="1">
        <v>0</v>
      </c>
      <c r="AA10" s="1">
        <v>0</v>
      </c>
      <c r="AB10" s="2"/>
      <c r="AC10" s="1">
        <v>0</v>
      </c>
      <c r="AD10" s="2"/>
      <c r="AE10" s="2"/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74</v>
      </c>
      <c r="D11" s="34">
        <v>4</v>
      </c>
      <c r="E11" s="34">
        <v>4</v>
      </c>
      <c r="F11" s="1">
        <v>0</v>
      </c>
      <c r="G11" s="34">
        <v>4</v>
      </c>
      <c r="H11" s="34">
        <v>4</v>
      </c>
      <c r="I11" s="10">
        <v>2</v>
      </c>
      <c r="J11" s="10">
        <v>2</v>
      </c>
      <c r="K11" s="34">
        <v>4</v>
      </c>
      <c r="L11" s="34">
        <v>4</v>
      </c>
      <c r="M11" s="1">
        <v>0</v>
      </c>
      <c r="N11" s="34">
        <v>4</v>
      </c>
      <c r="O11" s="34">
        <v>4</v>
      </c>
      <c r="P11" s="10">
        <v>2</v>
      </c>
      <c r="Q11" s="2"/>
      <c r="R11" s="34">
        <v>4</v>
      </c>
      <c r="S11" s="18">
        <v>0</v>
      </c>
      <c r="T11" s="34">
        <v>4</v>
      </c>
      <c r="U11" s="34">
        <v>4</v>
      </c>
      <c r="V11" s="46">
        <v>4</v>
      </c>
      <c r="W11" s="2"/>
      <c r="X11" s="2"/>
      <c r="Y11" s="34">
        <v>4</v>
      </c>
      <c r="Z11" s="34">
        <v>4</v>
      </c>
      <c r="AA11" s="1">
        <v>0</v>
      </c>
      <c r="AB11" s="23"/>
      <c r="AC11" s="34">
        <v>4</v>
      </c>
      <c r="AD11" s="2"/>
      <c r="AE11" s="2"/>
      <c r="AF11" s="34">
        <v>8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17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9"/>
      <c r="J12" s="19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9"/>
      <c r="Q12" s="19"/>
      <c r="R12" s="1">
        <v>0</v>
      </c>
      <c r="S12" s="18">
        <v>0</v>
      </c>
      <c r="T12" s="18">
        <v>0</v>
      </c>
      <c r="U12" s="18">
        <v>0</v>
      </c>
      <c r="V12" s="18">
        <v>0</v>
      </c>
      <c r="W12" s="19"/>
      <c r="X12" s="19"/>
      <c r="Y12" s="1">
        <v>0</v>
      </c>
      <c r="Z12" s="1">
        <v>0</v>
      </c>
      <c r="AA12" s="1">
        <v>0</v>
      </c>
      <c r="AB12" s="2">
        <v>16</v>
      </c>
      <c r="AC12" s="1">
        <v>0</v>
      </c>
      <c r="AD12" s="19"/>
      <c r="AE12" s="19"/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98</v>
      </c>
      <c r="D13" s="1">
        <v>0</v>
      </c>
      <c r="E13" s="34">
        <v>4</v>
      </c>
      <c r="F13" s="34">
        <v>4</v>
      </c>
      <c r="G13" s="34">
        <v>4</v>
      </c>
      <c r="H13" s="34">
        <v>4</v>
      </c>
      <c r="I13" s="10">
        <v>2</v>
      </c>
      <c r="J13" s="10">
        <v>2</v>
      </c>
      <c r="K13" s="34">
        <v>8</v>
      </c>
      <c r="L13" s="34">
        <v>4</v>
      </c>
      <c r="M13" s="34">
        <v>4</v>
      </c>
      <c r="N13" s="34">
        <v>4</v>
      </c>
      <c r="O13" s="34">
        <v>4</v>
      </c>
      <c r="P13" s="10">
        <v>2</v>
      </c>
      <c r="Q13" s="2"/>
      <c r="R13" s="34">
        <v>4</v>
      </c>
      <c r="S13" s="46">
        <v>4</v>
      </c>
      <c r="T13" s="46">
        <v>4</v>
      </c>
      <c r="U13" s="46">
        <v>4</v>
      </c>
      <c r="V13" s="46">
        <v>4</v>
      </c>
      <c r="W13" s="2"/>
      <c r="X13" s="41">
        <v>2</v>
      </c>
      <c r="Y13" s="34">
        <v>4</v>
      </c>
      <c r="Z13" s="34">
        <v>4</v>
      </c>
      <c r="AA13" s="34">
        <v>4</v>
      </c>
      <c r="AB13" s="2"/>
      <c r="AC13" s="34">
        <v>4</v>
      </c>
      <c r="AD13" s="2"/>
      <c r="AE13" s="2"/>
      <c r="AF13" s="34">
        <v>4</v>
      </c>
      <c r="AG13" s="34">
        <v>5</v>
      </c>
      <c r="AH13" s="34">
        <v>5</v>
      </c>
    </row>
    <row r="14" spans="1:34">
      <c r="A14" s="1">
        <v>12</v>
      </c>
      <c r="B14" s="1" t="s">
        <v>14</v>
      </c>
      <c r="C14" s="1">
        <f t="shared" si="0"/>
        <v>111</v>
      </c>
      <c r="D14" s="1">
        <v>0</v>
      </c>
      <c r="E14" s="1">
        <v>2</v>
      </c>
      <c r="F14" s="1">
        <v>0</v>
      </c>
      <c r="G14" s="34">
        <v>4</v>
      </c>
      <c r="H14" s="34">
        <v>4</v>
      </c>
      <c r="I14" s="10"/>
      <c r="J14" s="19"/>
      <c r="K14" s="34">
        <v>4</v>
      </c>
      <c r="L14" s="34">
        <v>4</v>
      </c>
      <c r="M14" s="34">
        <v>7</v>
      </c>
      <c r="N14" s="34">
        <v>4</v>
      </c>
      <c r="O14" s="34">
        <v>7</v>
      </c>
      <c r="P14" s="10">
        <v>2</v>
      </c>
      <c r="Q14" s="19"/>
      <c r="R14" s="34">
        <v>4</v>
      </c>
      <c r="S14" s="46">
        <v>4</v>
      </c>
      <c r="T14" s="46">
        <v>4</v>
      </c>
      <c r="U14" s="46">
        <v>4</v>
      </c>
      <c r="V14" s="46">
        <v>4</v>
      </c>
      <c r="W14" s="19"/>
      <c r="X14" s="41">
        <v>2</v>
      </c>
      <c r="Y14" s="34">
        <v>4</v>
      </c>
      <c r="Z14" s="34">
        <v>4</v>
      </c>
      <c r="AA14" s="34">
        <v>4</v>
      </c>
      <c r="AB14" s="34">
        <v>21</v>
      </c>
      <c r="AC14" s="34">
        <v>4</v>
      </c>
      <c r="AD14" s="19"/>
      <c r="AE14" s="19"/>
      <c r="AF14" s="34">
        <v>4</v>
      </c>
      <c r="AG14" s="34">
        <v>5</v>
      </c>
      <c r="AH14" s="34">
        <v>5</v>
      </c>
    </row>
    <row r="15" spans="1:34" ht="16.25" customHeight="1">
      <c r="A15" s="1">
        <v>13</v>
      </c>
      <c r="B15" s="1" t="s">
        <v>88</v>
      </c>
      <c r="C15" s="1">
        <f t="shared" si="0"/>
        <v>30</v>
      </c>
      <c r="D15" s="1">
        <v>3</v>
      </c>
      <c r="E15" s="1">
        <v>4</v>
      </c>
      <c r="F15" s="1">
        <v>4</v>
      </c>
      <c r="G15" s="1">
        <v>2</v>
      </c>
      <c r="H15" s="1">
        <v>4</v>
      </c>
      <c r="I15" s="2"/>
      <c r="J15" s="2"/>
      <c r="K15" s="1">
        <v>2</v>
      </c>
      <c r="L15" s="1">
        <v>0</v>
      </c>
      <c r="M15" s="1">
        <v>0</v>
      </c>
      <c r="N15" s="1">
        <v>1</v>
      </c>
      <c r="O15" s="1">
        <v>0</v>
      </c>
      <c r="P15" s="2"/>
      <c r="Q15" s="2"/>
      <c r="R15" s="1">
        <v>0</v>
      </c>
      <c r="S15" s="18">
        <v>2</v>
      </c>
      <c r="T15" s="18">
        <v>1</v>
      </c>
      <c r="U15" s="18">
        <v>0</v>
      </c>
      <c r="V15" s="18">
        <v>4</v>
      </c>
      <c r="W15" s="2"/>
      <c r="X15" s="2"/>
      <c r="Y15" s="1">
        <v>0</v>
      </c>
      <c r="Z15" s="1">
        <v>2</v>
      </c>
      <c r="AA15" s="1">
        <v>0</v>
      </c>
      <c r="AB15" s="2"/>
      <c r="AC15" s="1">
        <v>0</v>
      </c>
      <c r="AD15" s="2"/>
      <c r="AE15" s="2"/>
      <c r="AF15" s="1">
        <v>0</v>
      </c>
      <c r="AG15" s="1">
        <v>1</v>
      </c>
      <c r="AH15" s="1">
        <v>0</v>
      </c>
    </row>
    <row r="16" spans="1:34" ht="16.25" customHeight="1">
      <c r="A16" s="1">
        <v>14</v>
      </c>
      <c r="B16" s="1" t="s">
        <v>60</v>
      </c>
      <c r="C16" s="1">
        <f t="shared" si="0"/>
        <v>144</v>
      </c>
      <c r="D16" s="1">
        <v>0</v>
      </c>
      <c r="E16" s="34">
        <v>4</v>
      </c>
      <c r="F16" s="34">
        <v>8</v>
      </c>
      <c r="G16" s="34">
        <v>4</v>
      </c>
      <c r="H16" s="1">
        <v>0</v>
      </c>
      <c r="I16" s="10">
        <v>2</v>
      </c>
      <c r="J16" s="10">
        <v>2</v>
      </c>
      <c r="K16" s="34">
        <v>8</v>
      </c>
      <c r="L16" s="34">
        <v>8</v>
      </c>
      <c r="M16" s="34">
        <v>8</v>
      </c>
      <c r="N16" s="34">
        <v>4</v>
      </c>
      <c r="O16" s="1">
        <v>0</v>
      </c>
      <c r="P16" s="10">
        <v>2</v>
      </c>
      <c r="Q16" s="2"/>
      <c r="R16" s="34">
        <v>4</v>
      </c>
      <c r="S16" s="46">
        <v>8</v>
      </c>
      <c r="T16" s="46">
        <v>8</v>
      </c>
      <c r="U16" s="46">
        <v>8</v>
      </c>
      <c r="V16" s="46">
        <v>6</v>
      </c>
      <c r="W16" s="2"/>
      <c r="X16" s="41">
        <v>2</v>
      </c>
      <c r="Y16" s="34">
        <v>8</v>
      </c>
      <c r="Z16" s="34">
        <v>8</v>
      </c>
      <c r="AA16" s="34">
        <v>4</v>
      </c>
      <c r="AB16" s="34">
        <v>20</v>
      </c>
      <c r="AC16" s="34">
        <v>8</v>
      </c>
      <c r="AD16" s="2"/>
      <c r="AE16" s="2"/>
      <c r="AF16" s="34">
        <v>10</v>
      </c>
      <c r="AG16" s="1">
        <v>0</v>
      </c>
      <c r="AH16" s="1">
        <v>0</v>
      </c>
    </row>
    <row r="17" spans="1:34">
      <c r="A17" s="1">
        <v>15</v>
      </c>
      <c r="B17" s="1" t="s">
        <v>66</v>
      </c>
      <c r="C17" s="1">
        <f t="shared" si="0"/>
        <v>21</v>
      </c>
      <c r="D17" s="1">
        <v>0</v>
      </c>
      <c r="E17" s="1">
        <v>10</v>
      </c>
      <c r="F17" s="1">
        <v>0</v>
      </c>
      <c r="G17" s="1">
        <v>11</v>
      </c>
      <c r="H17" s="1">
        <v>0</v>
      </c>
      <c r="I17" s="19"/>
      <c r="J17" s="19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9"/>
      <c r="Q17" s="19"/>
      <c r="R17" s="1">
        <v>0</v>
      </c>
      <c r="S17" s="18">
        <v>0</v>
      </c>
      <c r="T17" s="18">
        <v>0</v>
      </c>
      <c r="U17" s="18">
        <v>0</v>
      </c>
      <c r="V17" s="18">
        <v>0</v>
      </c>
      <c r="W17" s="19"/>
      <c r="X17" s="19"/>
      <c r="Y17" s="1">
        <v>0</v>
      </c>
      <c r="Z17" s="1">
        <v>0</v>
      </c>
      <c r="AA17" s="1">
        <v>0</v>
      </c>
      <c r="AB17" s="2"/>
      <c r="AC17" s="1">
        <v>0</v>
      </c>
      <c r="AD17" s="19"/>
      <c r="AE17" s="19"/>
      <c r="AF17" s="1">
        <v>0</v>
      </c>
      <c r="AG17" s="1">
        <v>0</v>
      </c>
      <c r="AH17" s="1">
        <v>0</v>
      </c>
    </row>
    <row r="18" spans="1:34">
      <c r="A18" s="1">
        <v>16</v>
      </c>
      <c r="B18" s="1" t="s">
        <v>87</v>
      </c>
      <c r="C18" s="1">
        <f t="shared" si="0"/>
        <v>21</v>
      </c>
      <c r="D18" s="1">
        <v>0</v>
      </c>
      <c r="E18" s="1">
        <v>10</v>
      </c>
      <c r="F18" s="1">
        <v>0</v>
      </c>
      <c r="G18" s="1">
        <v>11</v>
      </c>
      <c r="H18" s="1">
        <v>0</v>
      </c>
      <c r="I18" s="19"/>
      <c r="J18" s="19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9"/>
      <c r="Q18" s="19"/>
      <c r="R18" s="1">
        <v>0</v>
      </c>
      <c r="S18" s="18">
        <v>0</v>
      </c>
      <c r="T18" s="18">
        <v>0</v>
      </c>
      <c r="U18" s="18">
        <v>0</v>
      </c>
      <c r="V18" s="18">
        <v>0</v>
      </c>
      <c r="W18" s="19"/>
      <c r="X18" s="19"/>
      <c r="Y18" s="1">
        <v>0</v>
      </c>
      <c r="Z18" s="1">
        <v>0</v>
      </c>
      <c r="AA18" s="1">
        <v>0</v>
      </c>
      <c r="AB18" s="2"/>
      <c r="AC18" s="1">
        <v>0</v>
      </c>
      <c r="AD18" s="19"/>
      <c r="AE18" s="19"/>
      <c r="AF18" s="1">
        <v>0</v>
      </c>
      <c r="AG18" s="1">
        <v>0</v>
      </c>
      <c r="AH18" s="1">
        <v>0</v>
      </c>
    </row>
    <row r="19" spans="1:34">
      <c r="A19" s="1">
        <v>17</v>
      </c>
      <c r="B19" s="1" t="s">
        <v>104</v>
      </c>
      <c r="C19" s="1">
        <f t="shared" si="0"/>
        <v>19</v>
      </c>
      <c r="D19" s="1">
        <v>0</v>
      </c>
      <c r="E19" s="1">
        <v>8</v>
      </c>
      <c r="F19" s="1">
        <v>0</v>
      </c>
      <c r="G19" s="1">
        <v>11</v>
      </c>
      <c r="H19" s="1">
        <v>0</v>
      </c>
      <c r="I19" s="19"/>
      <c r="J19" s="19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9"/>
      <c r="Q19" s="19"/>
      <c r="R19" s="1">
        <v>0</v>
      </c>
      <c r="S19" s="18">
        <v>0</v>
      </c>
      <c r="T19" s="18">
        <v>0</v>
      </c>
      <c r="U19" s="18">
        <v>0</v>
      </c>
      <c r="V19" s="18">
        <v>0</v>
      </c>
      <c r="W19" s="19"/>
      <c r="X19" s="19"/>
      <c r="Y19" s="1">
        <v>0</v>
      </c>
      <c r="Z19" s="1">
        <v>0</v>
      </c>
      <c r="AA19" s="1">
        <v>0</v>
      </c>
      <c r="AB19" s="2"/>
      <c r="AC19" s="1">
        <v>0</v>
      </c>
      <c r="AD19" s="19"/>
      <c r="AE19" s="19"/>
      <c r="AF19" s="1">
        <v>0</v>
      </c>
      <c r="AG19" s="1">
        <v>0</v>
      </c>
      <c r="AH19" s="1">
        <v>0</v>
      </c>
    </row>
    <row r="20" spans="1:34">
      <c r="A20" s="1">
        <v>18</v>
      </c>
      <c r="B20" s="1" t="s">
        <v>139</v>
      </c>
      <c r="C20" s="1">
        <f t="shared" si="0"/>
        <v>84</v>
      </c>
      <c r="D20" s="1">
        <v>5</v>
      </c>
      <c r="E20" s="1">
        <v>5</v>
      </c>
      <c r="F20" s="1">
        <v>6</v>
      </c>
      <c r="G20" s="1">
        <v>6</v>
      </c>
      <c r="H20" s="1">
        <v>6</v>
      </c>
      <c r="I20" s="19"/>
      <c r="J20" s="19"/>
      <c r="K20" s="1">
        <v>5</v>
      </c>
      <c r="L20" s="1">
        <v>5</v>
      </c>
      <c r="M20" s="1">
        <v>5</v>
      </c>
      <c r="N20" s="1">
        <v>10</v>
      </c>
      <c r="O20" s="1">
        <v>0</v>
      </c>
      <c r="P20" s="19"/>
      <c r="Q20" s="19"/>
      <c r="R20" s="1">
        <v>5</v>
      </c>
      <c r="S20" s="18">
        <v>5</v>
      </c>
      <c r="T20" s="18">
        <v>5</v>
      </c>
      <c r="U20" s="18">
        <v>0</v>
      </c>
      <c r="V20" s="18">
        <v>0</v>
      </c>
      <c r="W20" s="19"/>
      <c r="X20" s="19"/>
      <c r="Y20" s="1">
        <v>0</v>
      </c>
      <c r="Z20" s="1">
        <v>0</v>
      </c>
      <c r="AA20" s="1">
        <v>0</v>
      </c>
      <c r="AB20" s="2">
        <v>16</v>
      </c>
      <c r="AC20" s="1">
        <v>0</v>
      </c>
      <c r="AD20" s="19"/>
      <c r="AE20" s="19"/>
      <c r="AF20" s="1">
        <v>0</v>
      </c>
      <c r="AG20" s="1">
        <v>0</v>
      </c>
      <c r="AH20" s="1">
        <v>0</v>
      </c>
    </row>
    <row r="22" spans="1:34">
      <c r="A22" s="35"/>
      <c r="B22" s="4" t="s">
        <v>141</v>
      </c>
    </row>
    <row r="23" spans="1:34" hidden="1">
      <c r="A23" t="s">
        <v>168</v>
      </c>
    </row>
    <row r="24" spans="1:34" hidden="1">
      <c r="A24" t="s">
        <v>169</v>
      </c>
    </row>
    <row r="25" spans="1:34" hidden="1">
      <c r="A25" t="s">
        <v>172</v>
      </c>
    </row>
    <row r="26" spans="1:34">
      <c r="A26" t="s">
        <v>174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22">
    <cfRule type="duplicateValues" dxfId="56" priority="2"/>
  </conditionalFormatting>
  <pageMargins left="0.7" right="0.7" top="0.75" bottom="0.75" header="0.3" footer="0.3"/>
  <pageSetup paperSize="9" scale="42" fitToHeight="0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21"/>
  <sheetViews>
    <sheetView workbookViewId="0">
      <selection activeCell="M11" sqref="M11"/>
    </sheetView>
  </sheetViews>
  <sheetFormatPr baseColWidth="10" defaultColWidth="8.83203125" defaultRowHeight="15"/>
  <cols>
    <col min="3" max="24" width="8.83203125" hidden="1" customWidth="1"/>
    <col min="25" max="32" width="8.83203125" customWidth="1"/>
  </cols>
  <sheetData>
    <row r="1" spans="1:33" ht="27">
      <c r="A1" s="70" t="s">
        <v>0</v>
      </c>
      <c r="B1" s="70"/>
      <c r="C1" s="68">
        <v>45292</v>
      </c>
      <c r="D1" s="68">
        <v>45293</v>
      </c>
      <c r="E1" s="68">
        <v>45294</v>
      </c>
      <c r="F1" s="68">
        <v>45295</v>
      </c>
      <c r="G1" s="68">
        <v>45296</v>
      </c>
      <c r="H1" s="68">
        <v>45297</v>
      </c>
      <c r="I1" s="68">
        <v>45298</v>
      </c>
      <c r="J1" s="68">
        <v>45299</v>
      </c>
      <c r="K1" s="68">
        <v>45300</v>
      </c>
      <c r="L1" s="68">
        <v>45301</v>
      </c>
      <c r="M1" s="68">
        <v>45302</v>
      </c>
      <c r="N1" s="68">
        <v>45303</v>
      </c>
      <c r="O1" s="68">
        <v>45304</v>
      </c>
      <c r="P1" s="68">
        <v>45305</v>
      </c>
      <c r="Q1" s="68">
        <v>45306</v>
      </c>
      <c r="R1" s="68">
        <v>45307</v>
      </c>
      <c r="S1" s="68">
        <v>45308</v>
      </c>
      <c r="T1" s="68">
        <v>45309</v>
      </c>
      <c r="U1" s="68">
        <v>45310</v>
      </c>
      <c r="V1" s="68">
        <v>45311</v>
      </c>
      <c r="W1" s="68">
        <v>45312</v>
      </c>
      <c r="X1" s="68">
        <v>45313</v>
      </c>
      <c r="Y1" s="68">
        <v>45314</v>
      </c>
      <c r="Z1" s="68">
        <v>45315</v>
      </c>
      <c r="AA1" s="68">
        <v>45316</v>
      </c>
      <c r="AB1" s="68">
        <v>45317</v>
      </c>
      <c r="AC1" s="68">
        <v>45318</v>
      </c>
      <c r="AD1" s="68">
        <v>45319</v>
      </c>
      <c r="AE1" s="68">
        <v>45320</v>
      </c>
      <c r="AF1" s="68">
        <v>45321</v>
      </c>
      <c r="AG1" s="68">
        <v>45322</v>
      </c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>
      <c r="A3" s="1">
        <v>1</v>
      </c>
      <c r="B3" s="1" t="s">
        <v>3</v>
      </c>
      <c r="C3" s="2"/>
      <c r="D3" s="3" t="s">
        <v>25</v>
      </c>
      <c r="E3" s="3" t="s">
        <v>25</v>
      </c>
      <c r="F3" s="2"/>
      <c r="G3" s="2"/>
      <c r="H3" s="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2"/>
      <c r="N3" s="2"/>
      <c r="O3" s="1" t="s">
        <v>22</v>
      </c>
      <c r="P3" s="3" t="s">
        <v>25</v>
      </c>
      <c r="Q3" s="3" t="s">
        <v>25</v>
      </c>
      <c r="R3" s="3" t="s">
        <v>25</v>
      </c>
      <c r="S3" s="3" t="s">
        <v>25</v>
      </c>
      <c r="T3" s="2"/>
      <c r="U3" s="2"/>
      <c r="V3" s="3" t="s">
        <v>25</v>
      </c>
      <c r="W3" s="3" t="s">
        <v>25</v>
      </c>
      <c r="X3" s="3" t="s">
        <v>25</v>
      </c>
      <c r="Y3" s="3" t="s">
        <v>25</v>
      </c>
      <c r="Z3" s="2"/>
      <c r="AA3" s="2"/>
      <c r="AB3" s="2"/>
      <c r="AC3" s="2"/>
      <c r="AD3" s="2"/>
      <c r="AE3" s="2"/>
      <c r="AF3" s="2"/>
      <c r="AG3" s="2"/>
    </row>
    <row r="4" spans="1:33">
      <c r="A4" s="1">
        <v>2</v>
      </c>
      <c r="B4" s="1" t="s">
        <v>4</v>
      </c>
      <c r="C4" s="2"/>
      <c r="D4" s="3" t="s">
        <v>25</v>
      </c>
      <c r="E4" s="3" t="s">
        <v>25</v>
      </c>
      <c r="F4" s="2"/>
      <c r="G4" s="2"/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2"/>
      <c r="N4" s="2"/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2"/>
      <c r="U4" s="2"/>
      <c r="V4" s="3" t="s">
        <v>25</v>
      </c>
      <c r="W4" s="3" t="s">
        <v>25</v>
      </c>
      <c r="X4" s="3" t="s">
        <v>25</v>
      </c>
      <c r="Y4" s="3" t="s">
        <v>25</v>
      </c>
      <c r="Z4" s="2"/>
      <c r="AA4" s="2"/>
      <c r="AB4" s="2"/>
      <c r="AC4" s="2"/>
      <c r="AD4" s="2"/>
      <c r="AE4" s="2"/>
      <c r="AF4" s="2"/>
      <c r="AG4" s="2"/>
    </row>
    <row r="5" spans="1:33">
      <c r="A5" s="1">
        <v>3</v>
      </c>
      <c r="B5" s="1" t="s">
        <v>5</v>
      </c>
      <c r="C5" s="2"/>
      <c r="D5" s="3" t="s">
        <v>25</v>
      </c>
      <c r="E5" s="3" t="s">
        <v>25</v>
      </c>
      <c r="F5" s="8"/>
      <c r="G5" s="8"/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8"/>
      <c r="N5" s="8"/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8"/>
      <c r="U5" s="8"/>
      <c r="V5" s="3" t="s">
        <v>25</v>
      </c>
      <c r="W5" s="3" t="s">
        <v>25</v>
      </c>
      <c r="X5" s="3" t="s">
        <v>25</v>
      </c>
      <c r="Y5" s="3" t="s">
        <v>25</v>
      </c>
      <c r="Z5" s="8"/>
      <c r="AA5" s="8"/>
      <c r="AB5" s="8"/>
      <c r="AC5" s="2"/>
      <c r="AD5" s="2"/>
      <c r="AE5" s="8"/>
      <c r="AF5" s="8"/>
      <c r="AG5" s="8"/>
    </row>
    <row r="6" spans="1:33">
      <c r="A6" s="1">
        <v>4</v>
      </c>
      <c r="B6" s="1" t="s">
        <v>6</v>
      </c>
      <c r="C6" s="2"/>
      <c r="D6" s="3" t="s">
        <v>25</v>
      </c>
      <c r="E6" s="3" t="s">
        <v>25</v>
      </c>
      <c r="F6" s="2"/>
      <c r="G6" s="2"/>
      <c r="H6" s="3" t="s">
        <v>25</v>
      </c>
      <c r="I6" s="24" t="s">
        <v>92</v>
      </c>
      <c r="J6" s="24" t="s">
        <v>92</v>
      </c>
      <c r="K6" s="24" t="s">
        <v>92</v>
      </c>
      <c r="L6" s="24" t="s">
        <v>92</v>
      </c>
      <c r="M6" s="2"/>
      <c r="N6" s="2"/>
      <c r="O6" s="24" t="s">
        <v>92</v>
      </c>
      <c r="P6" s="24" t="s">
        <v>92</v>
      </c>
      <c r="Q6" s="24" t="s">
        <v>92</v>
      </c>
      <c r="R6" s="24" t="s">
        <v>92</v>
      </c>
      <c r="S6" s="24" t="s">
        <v>92</v>
      </c>
      <c r="T6" s="2"/>
      <c r="U6" s="2"/>
      <c r="V6" s="3" t="s">
        <v>25</v>
      </c>
      <c r="W6" s="3" t="s">
        <v>25</v>
      </c>
      <c r="X6" s="3" t="s">
        <v>62</v>
      </c>
      <c r="Y6" s="3" t="s">
        <v>25</v>
      </c>
      <c r="Z6" s="2"/>
      <c r="AA6" s="2"/>
      <c r="AB6" s="2"/>
      <c r="AC6" s="2"/>
      <c r="AD6" s="2"/>
      <c r="AE6" s="2"/>
      <c r="AF6" s="2"/>
      <c r="AG6" s="2"/>
    </row>
    <row r="7" spans="1:33">
      <c r="A7" s="1">
        <v>5</v>
      </c>
      <c r="B7" s="1" t="s">
        <v>7</v>
      </c>
      <c r="C7" s="2"/>
      <c r="D7" s="1" t="s">
        <v>22</v>
      </c>
      <c r="E7" s="3" t="s">
        <v>25</v>
      </c>
      <c r="F7" s="2"/>
      <c r="G7" s="2"/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8"/>
      <c r="N7" s="2"/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2"/>
      <c r="U7" s="2"/>
      <c r="V7" s="3" t="s">
        <v>25</v>
      </c>
      <c r="W7" s="3" t="s">
        <v>25</v>
      </c>
      <c r="X7" s="3" t="s">
        <v>25</v>
      </c>
      <c r="Y7" s="3" t="s">
        <v>25</v>
      </c>
      <c r="Z7" s="2"/>
      <c r="AA7" s="2"/>
      <c r="AB7" s="2"/>
      <c r="AC7" s="2"/>
      <c r="AD7" s="2"/>
      <c r="AE7" s="2"/>
      <c r="AF7" s="2"/>
      <c r="AG7" s="2"/>
    </row>
    <row r="8" spans="1:33">
      <c r="A8" s="1">
        <v>6</v>
      </c>
      <c r="B8" s="1" t="s">
        <v>8</v>
      </c>
      <c r="C8" s="2"/>
      <c r="D8" s="3" t="s">
        <v>25</v>
      </c>
      <c r="E8" s="3" t="s">
        <v>25</v>
      </c>
      <c r="F8" s="8"/>
      <c r="G8" s="8"/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2"/>
      <c r="N8" s="2"/>
      <c r="O8" s="3" t="s">
        <v>25</v>
      </c>
      <c r="P8" s="1" t="s">
        <v>22</v>
      </c>
      <c r="Q8" s="3" t="s">
        <v>25</v>
      </c>
      <c r="R8" s="3" t="s">
        <v>25</v>
      </c>
      <c r="S8" s="3" t="s">
        <v>25</v>
      </c>
      <c r="T8" s="2"/>
      <c r="U8" s="2"/>
      <c r="V8" s="3" t="s">
        <v>25</v>
      </c>
      <c r="W8" s="3" t="s">
        <v>25</v>
      </c>
      <c r="X8" s="3" t="s">
        <v>25</v>
      </c>
      <c r="Y8" s="3" t="s">
        <v>62</v>
      </c>
      <c r="Z8" s="2"/>
      <c r="AA8" s="2"/>
      <c r="AB8" s="2"/>
      <c r="AC8" s="2"/>
      <c r="AD8" s="2"/>
      <c r="AE8" s="2"/>
      <c r="AF8" s="2"/>
      <c r="AG8" s="8"/>
    </row>
    <row r="9" spans="1:33">
      <c r="A9" s="1">
        <v>7</v>
      </c>
      <c r="B9" s="1" t="s">
        <v>9</v>
      </c>
      <c r="C9" s="2"/>
      <c r="D9" s="3" t="s">
        <v>25</v>
      </c>
      <c r="E9" s="3" t="s">
        <v>25</v>
      </c>
      <c r="F9" s="8"/>
      <c r="G9" s="8"/>
      <c r="H9" s="3" t="s">
        <v>25</v>
      </c>
      <c r="I9" s="3" t="s">
        <v>25</v>
      </c>
      <c r="J9" s="3" t="s">
        <v>25</v>
      </c>
      <c r="K9" s="3" t="s">
        <v>25</v>
      </c>
      <c r="L9" s="3" t="s">
        <v>25</v>
      </c>
      <c r="M9" s="8"/>
      <c r="N9" s="8"/>
      <c r="O9" s="3" t="s">
        <v>25</v>
      </c>
      <c r="P9" s="3" t="s">
        <v>25</v>
      </c>
      <c r="Q9" s="1" t="s">
        <v>22</v>
      </c>
      <c r="R9" s="24" t="s">
        <v>93</v>
      </c>
      <c r="S9" s="3" t="s">
        <v>25</v>
      </c>
      <c r="T9" s="8"/>
      <c r="U9" s="8"/>
      <c r="V9" s="3" t="s">
        <v>25</v>
      </c>
      <c r="W9" s="3" t="s">
        <v>25</v>
      </c>
      <c r="X9" s="3" t="s">
        <v>25</v>
      </c>
      <c r="Y9" s="3" t="s">
        <v>25</v>
      </c>
      <c r="Z9" s="8"/>
      <c r="AA9" s="8"/>
      <c r="AB9" s="8"/>
      <c r="AC9" s="2"/>
      <c r="AD9" s="2"/>
      <c r="AE9" s="8"/>
      <c r="AF9" s="8"/>
      <c r="AG9" s="8"/>
    </row>
    <row r="10" spans="1:33">
      <c r="A10" s="1">
        <v>8</v>
      </c>
      <c r="B10" s="1" t="s">
        <v>10</v>
      </c>
      <c r="C10" s="2"/>
      <c r="D10" s="3" t="s">
        <v>25</v>
      </c>
      <c r="E10" s="3" t="s">
        <v>25</v>
      </c>
      <c r="F10" s="2"/>
      <c r="G10" s="2"/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2"/>
      <c r="N10" s="2"/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2"/>
      <c r="U10" s="2"/>
      <c r="V10" s="3" t="s">
        <v>25</v>
      </c>
      <c r="W10" s="3" t="s">
        <v>25</v>
      </c>
      <c r="X10" s="3" t="s">
        <v>25</v>
      </c>
      <c r="Y10" s="3" t="s">
        <v>25</v>
      </c>
      <c r="Z10" s="2"/>
      <c r="AA10" s="2"/>
      <c r="AB10" s="2"/>
      <c r="AC10" s="2"/>
      <c r="AD10" s="2"/>
      <c r="AE10" s="2"/>
      <c r="AF10" s="2"/>
      <c r="AG10" s="2"/>
    </row>
    <row r="11" spans="1:33">
      <c r="A11" s="1">
        <v>9</v>
      </c>
      <c r="B11" s="1" t="s">
        <v>11</v>
      </c>
      <c r="C11" s="2"/>
      <c r="D11" s="3" t="s">
        <v>25</v>
      </c>
      <c r="E11" s="3" t="s">
        <v>25</v>
      </c>
      <c r="F11" s="2"/>
      <c r="G11" s="2"/>
      <c r="H11" s="3" t="s">
        <v>25</v>
      </c>
      <c r="I11" s="3" t="s">
        <v>25</v>
      </c>
      <c r="J11" s="3" t="s">
        <v>25</v>
      </c>
      <c r="K11" s="3" t="s">
        <v>25</v>
      </c>
      <c r="L11" s="24" t="s">
        <v>92</v>
      </c>
      <c r="M11" s="2"/>
      <c r="N11" s="2"/>
      <c r="O11" s="24" t="s">
        <v>92</v>
      </c>
      <c r="P11" s="24" t="s">
        <v>92</v>
      </c>
      <c r="Q11" s="24" t="s">
        <v>92</v>
      </c>
      <c r="R11" s="24" t="s">
        <v>92</v>
      </c>
      <c r="S11" s="24" t="s">
        <v>92</v>
      </c>
      <c r="T11" s="2"/>
      <c r="U11" s="2"/>
      <c r="V11" s="24" t="s">
        <v>92</v>
      </c>
      <c r="W11" s="24" t="s">
        <v>92</v>
      </c>
      <c r="X11" s="24" t="s">
        <v>92</v>
      </c>
      <c r="Y11" s="24" t="s">
        <v>92</v>
      </c>
      <c r="Z11" s="25" t="s">
        <v>92</v>
      </c>
      <c r="AA11" s="2"/>
      <c r="AB11" s="2"/>
      <c r="AC11" s="2"/>
      <c r="AD11" s="2"/>
      <c r="AE11" s="2"/>
      <c r="AF11" s="2"/>
      <c r="AG11" s="2"/>
    </row>
    <row r="12" spans="1:33">
      <c r="A12" s="1">
        <v>10</v>
      </c>
      <c r="B12" s="1" t="s">
        <v>12</v>
      </c>
      <c r="C12" s="2"/>
      <c r="D12" s="3" t="s">
        <v>25</v>
      </c>
      <c r="E12" s="3" t="s">
        <v>25</v>
      </c>
      <c r="F12" s="2"/>
      <c r="G12" s="2"/>
      <c r="H12" s="3" t="s">
        <v>25</v>
      </c>
      <c r="I12" s="3" t="s">
        <v>25</v>
      </c>
      <c r="J12" s="3" t="s">
        <v>25</v>
      </c>
      <c r="K12" s="3" t="s">
        <v>25</v>
      </c>
      <c r="L12" s="24" t="s">
        <v>92</v>
      </c>
      <c r="M12" s="2"/>
      <c r="N12" s="2"/>
      <c r="O12" s="24" t="s">
        <v>92</v>
      </c>
      <c r="P12" s="24" t="s">
        <v>92</v>
      </c>
      <c r="Q12" s="24" t="s">
        <v>92</v>
      </c>
      <c r="R12" s="24" t="s">
        <v>92</v>
      </c>
      <c r="S12" s="24" t="s">
        <v>92</v>
      </c>
      <c r="T12" s="2"/>
      <c r="U12" s="2"/>
      <c r="V12" s="24" t="s">
        <v>92</v>
      </c>
      <c r="W12" s="24" t="s">
        <v>92</v>
      </c>
      <c r="X12" s="24" t="s">
        <v>92</v>
      </c>
      <c r="Y12" s="24" t="s">
        <v>92</v>
      </c>
      <c r="Z12" s="25" t="s">
        <v>92</v>
      </c>
      <c r="AA12" s="2"/>
      <c r="AB12" s="2"/>
      <c r="AC12" s="2"/>
      <c r="AD12" s="2"/>
      <c r="AE12" s="2"/>
      <c r="AF12" s="2"/>
      <c r="AG12" s="2"/>
    </row>
    <row r="13" spans="1:33">
      <c r="A13" s="1">
        <v>11</v>
      </c>
      <c r="B13" s="1" t="s">
        <v>13</v>
      </c>
      <c r="C13" s="2"/>
      <c r="D13" s="3" t="s">
        <v>25</v>
      </c>
      <c r="E13" s="3" t="s">
        <v>25</v>
      </c>
      <c r="F13" s="8"/>
      <c r="G13" s="8"/>
      <c r="H13" s="3" t="s">
        <v>25</v>
      </c>
      <c r="I13" s="3" t="s">
        <v>25</v>
      </c>
      <c r="J13" s="3" t="s">
        <v>25</v>
      </c>
      <c r="K13" s="3" t="s">
        <v>25</v>
      </c>
      <c r="L13" s="1" t="s">
        <v>62</v>
      </c>
      <c r="M13" s="2"/>
      <c r="N13" s="2"/>
      <c r="O13" s="1" t="s">
        <v>22</v>
      </c>
      <c r="P13" s="3" t="s">
        <v>25</v>
      </c>
      <c r="Q13" s="3" t="s">
        <v>25</v>
      </c>
      <c r="R13" s="3" t="s">
        <v>25</v>
      </c>
      <c r="S13" s="3" t="s">
        <v>25</v>
      </c>
      <c r="T13" s="2"/>
      <c r="U13" s="2"/>
      <c r="V13" s="3" t="s">
        <v>25</v>
      </c>
      <c r="W13" s="3" t="s">
        <v>25</v>
      </c>
      <c r="X13" s="3" t="s">
        <v>25</v>
      </c>
      <c r="Y13" s="3" t="s">
        <v>25</v>
      </c>
      <c r="Z13" s="2"/>
      <c r="AA13" s="2"/>
      <c r="AB13" s="2"/>
      <c r="AC13" s="2"/>
      <c r="AD13" s="2"/>
      <c r="AE13" s="2"/>
      <c r="AF13" s="2"/>
      <c r="AG13" s="2"/>
    </row>
    <row r="14" spans="1:33">
      <c r="A14" s="1">
        <v>12</v>
      </c>
      <c r="B14" s="1" t="s">
        <v>14</v>
      </c>
      <c r="C14" s="2"/>
      <c r="D14" s="3" t="s">
        <v>25</v>
      </c>
      <c r="E14" s="3" t="s">
        <v>25</v>
      </c>
      <c r="F14" s="2"/>
      <c r="G14" s="2"/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2"/>
      <c r="N14" s="2"/>
      <c r="O14" s="1" t="s">
        <v>22</v>
      </c>
      <c r="P14" s="3" t="s">
        <v>25</v>
      </c>
      <c r="Q14" s="3" t="s">
        <v>25</v>
      </c>
      <c r="R14" s="3" t="s">
        <v>25</v>
      </c>
      <c r="S14" s="3" t="s">
        <v>25</v>
      </c>
      <c r="T14" s="2"/>
      <c r="U14" s="2"/>
      <c r="V14" s="3" t="s">
        <v>25</v>
      </c>
      <c r="W14" s="3" t="s">
        <v>25</v>
      </c>
      <c r="X14" s="3" t="s">
        <v>25</v>
      </c>
      <c r="Y14" s="3" t="s">
        <v>25</v>
      </c>
      <c r="Z14" s="2"/>
      <c r="AA14" s="2"/>
      <c r="AB14" s="2"/>
      <c r="AC14" s="2"/>
      <c r="AD14" s="2"/>
      <c r="AE14" s="2"/>
      <c r="AF14" s="2"/>
      <c r="AG14" s="2"/>
    </row>
    <row r="15" spans="1:33" ht="18">
      <c r="A15" s="1">
        <v>13</v>
      </c>
      <c r="B15" s="1" t="s">
        <v>16</v>
      </c>
      <c r="C15" s="2"/>
      <c r="D15" s="22" t="s">
        <v>62</v>
      </c>
      <c r="E15" s="1" t="s">
        <v>22</v>
      </c>
      <c r="F15" s="2"/>
      <c r="G15" s="2"/>
      <c r="H15" s="3" t="s">
        <v>25</v>
      </c>
      <c r="I15" s="3" t="s">
        <v>25</v>
      </c>
      <c r="J15" s="3" t="s">
        <v>30</v>
      </c>
      <c r="K15" s="3" t="s">
        <v>25</v>
      </c>
      <c r="L15" s="3" t="s">
        <v>25</v>
      </c>
      <c r="M15" s="2"/>
      <c r="N15" s="2"/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2"/>
      <c r="U15" s="2"/>
      <c r="V15" s="3" t="s">
        <v>25</v>
      </c>
      <c r="W15" s="22" t="s">
        <v>62</v>
      </c>
      <c r="X15" s="3" t="s">
        <v>25</v>
      </c>
      <c r="Y15" s="3" t="s">
        <v>25</v>
      </c>
      <c r="Z15" s="2"/>
      <c r="AA15" s="2"/>
      <c r="AB15" s="2"/>
      <c r="AC15" s="2"/>
      <c r="AD15" s="2"/>
      <c r="AE15" s="2"/>
      <c r="AF15" s="2"/>
      <c r="AG15" s="2"/>
    </row>
    <row r="16" spans="1:33">
      <c r="A16" s="1">
        <v>14</v>
      </c>
      <c r="B16" s="1" t="s">
        <v>60</v>
      </c>
      <c r="C16" s="2"/>
      <c r="D16" s="3" t="s">
        <v>25</v>
      </c>
      <c r="E16" s="3" t="s">
        <v>25</v>
      </c>
      <c r="F16" s="2"/>
      <c r="G16" s="2"/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2"/>
      <c r="N16" s="2"/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2"/>
      <c r="U16" s="2"/>
      <c r="V16" s="3" t="s">
        <v>25</v>
      </c>
      <c r="W16" s="3" t="s">
        <v>25</v>
      </c>
      <c r="X16" s="3" t="s">
        <v>25</v>
      </c>
      <c r="Y16" s="3" t="s">
        <v>25</v>
      </c>
      <c r="Z16" s="2"/>
      <c r="AA16" s="2"/>
      <c r="AB16" s="2"/>
      <c r="AC16" s="2"/>
      <c r="AD16" s="2"/>
      <c r="AE16" s="2"/>
      <c r="AF16" s="2"/>
      <c r="AG16" s="2"/>
    </row>
    <row r="17" spans="1:33">
      <c r="A17" s="1">
        <v>15</v>
      </c>
      <c r="B17" s="1" t="s">
        <v>66</v>
      </c>
      <c r="C17" s="19"/>
      <c r="D17" s="3" t="s">
        <v>25</v>
      </c>
      <c r="E17" s="3" t="s">
        <v>25</v>
      </c>
      <c r="F17" s="2"/>
      <c r="G17" s="2"/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2"/>
      <c r="N17" s="2"/>
      <c r="O17" s="3" t="s">
        <v>25</v>
      </c>
      <c r="P17" s="3" t="s">
        <v>25</v>
      </c>
      <c r="Q17" s="3" t="s">
        <v>25</v>
      </c>
      <c r="R17" s="3" t="s">
        <v>25</v>
      </c>
      <c r="S17" s="1" t="s">
        <v>22</v>
      </c>
      <c r="T17" s="2"/>
      <c r="U17" s="2"/>
      <c r="V17" s="3" t="s">
        <v>25</v>
      </c>
      <c r="W17" s="3" t="s">
        <v>25</v>
      </c>
      <c r="X17" s="3" t="s">
        <v>25</v>
      </c>
      <c r="Y17" s="3" t="s">
        <v>25</v>
      </c>
      <c r="Z17" s="2"/>
      <c r="AA17" s="2"/>
      <c r="AB17" s="2"/>
      <c r="AC17" s="2"/>
      <c r="AD17" s="2"/>
      <c r="AE17" s="2"/>
      <c r="AF17" s="2"/>
      <c r="AG17" s="2"/>
    </row>
    <row r="18" spans="1:33">
      <c r="A18" s="1">
        <v>16</v>
      </c>
      <c r="B18" s="1" t="s">
        <v>87</v>
      </c>
      <c r="C18" s="19"/>
      <c r="D18" s="3" t="s">
        <v>25</v>
      </c>
      <c r="E18" s="3" t="s">
        <v>25</v>
      </c>
      <c r="F18" s="2"/>
      <c r="G18" s="2"/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2"/>
      <c r="N18" s="2"/>
      <c r="O18" s="3" t="s">
        <v>25</v>
      </c>
      <c r="P18" s="3" t="s">
        <v>25</v>
      </c>
      <c r="Q18" s="3" t="s">
        <v>25</v>
      </c>
      <c r="R18" s="3" t="s">
        <v>25</v>
      </c>
      <c r="S18" s="1" t="s">
        <v>22</v>
      </c>
      <c r="T18" s="2"/>
      <c r="U18" s="2"/>
      <c r="V18" s="3" t="s">
        <v>25</v>
      </c>
      <c r="W18" s="3" t="s">
        <v>25</v>
      </c>
      <c r="X18" s="3" t="s">
        <v>25</v>
      </c>
      <c r="Y18" s="3" t="s">
        <v>25</v>
      </c>
      <c r="Z18" s="2"/>
      <c r="AA18" s="2"/>
      <c r="AB18" s="2"/>
      <c r="AC18" s="2"/>
      <c r="AD18" s="2"/>
      <c r="AE18" s="2"/>
      <c r="AF18" s="2"/>
      <c r="AG18" s="2"/>
    </row>
    <row r="19" spans="1:33" ht="18">
      <c r="A19" s="20" t="s">
        <v>25</v>
      </c>
      <c r="B19" t="s">
        <v>23</v>
      </c>
    </row>
    <row r="20" spans="1:33">
      <c r="A20" s="4" t="s">
        <v>22</v>
      </c>
      <c r="B20" t="s">
        <v>31</v>
      </c>
    </row>
    <row r="21" spans="1:33">
      <c r="A21" s="7" t="s">
        <v>30</v>
      </c>
      <c r="B21" s="6" t="s">
        <v>29</v>
      </c>
    </row>
  </sheetData>
  <mergeCells count="32">
    <mergeCell ref="R1:R2"/>
    <mergeCell ref="S1:S2"/>
    <mergeCell ref="T1:T2"/>
    <mergeCell ref="U1:U2"/>
    <mergeCell ref="A1:B1"/>
    <mergeCell ref="C1:C2"/>
    <mergeCell ref="M1:M2"/>
    <mergeCell ref="L1:L2"/>
    <mergeCell ref="K1:K2"/>
    <mergeCell ref="J1:J2"/>
    <mergeCell ref="I1:I2"/>
    <mergeCell ref="H1:H2"/>
    <mergeCell ref="G1:G2"/>
    <mergeCell ref="F1:F2"/>
    <mergeCell ref="E1:E2"/>
    <mergeCell ref="D1:D2"/>
    <mergeCell ref="AF1:AF2"/>
    <mergeCell ref="AG1:AG2"/>
    <mergeCell ref="P1:P2"/>
    <mergeCell ref="O1:O2"/>
    <mergeCell ref="N1:N2"/>
    <mergeCell ref="AA1:AA2"/>
    <mergeCell ref="AB1:AB2"/>
    <mergeCell ref="AC1:AC2"/>
    <mergeCell ref="AD1:AD2"/>
    <mergeCell ref="AE1:AE2"/>
    <mergeCell ref="V1:V2"/>
    <mergeCell ref="W1:W2"/>
    <mergeCell ref="X1:X2"/>
    <mergeCell ref="Y1:Y2"/>
    <mergeCell ref="Z1:Z2"/>
    <mergeCell ref="Q1:Q2"/>
  </mergeCells>
  <phoneticPr fontId="1" type="noConversion"/>
  <conditionalFormatting sqref="B15:B18">
    <cfRule type="duplicateValues" dxfId="55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AH18"/>
  <sheetViews>
    <sheetView workbookViewId="0">
      <selection activeCell="M11" sqref="M11"/>
    </sheetView>
  </sheetViews>
  <sheetFormatPr baseColWidth="10" defaultColWidth="8.83203125" defaultRowHeight="15"/>
  <cols>
    <col min="3" max="3" width="15.33203125" bestFit="1" customWidth="1"/>
    <col min="4" max="25" width="8.83203125" hidden="1" customWidth="1"/>
    <col min="26" max="33" width="8.83203125" customWidth="1"/>
  </cols>
  <sheetData>
    <row r="1" spans="1:34" ht="27">
      <c r="A1" s="71" t="s">
        <v>17</v>
      </c>
      <c r="B1" s="71"/>
      <c r="C1" s="64" t="s">
        <v>27</v>
      </c>
      <c r="D1" s="74">
        <v>45292</v>
      </c>
      <c r="E1" s="74">
        <v>45293</v>
      </c>
      <c r="F1" s="74">
        <v>45294</v>
      </c>
      <c r="G1" s="74">
        <v>45295</v>
      </c>
      <c r="H1" s="74">
        <v>45296</v>
      </c>
      <c r="I1" s="74">
        <v>45297</v>
      </c>
      <c r="J1" s="74">
        <v>45298</v>
      </c>
      <c r="K1" s="74">
        <v>45299</v>
      </c>
      <c r="L1" s="74">
        <v>45300</v>
      </c>
      <c r="M1" s="74">
        <v>45301</v>
      </c>
      <c r="N1" s="74">
        <v>45302</v>
      </c>
      <c r="O1" s="74">
        <v>45303</v>
      </c>
      <c r="P1" s="74">
        <v>45304</v>
      </c>
      <c r="Q1" s="74">
        <v>45305</v>
      </c>
      <c r="R1" s="74">
        <v>45306</v>
      </c>
      <c r="S1" s="74">
        <v>45307</v>
      </c>
      <c r="T1" s="74">
        <v>45308</v>
      </c>
      <c r="U1" s="74">
        <v>45309</v>
      </c>
      <c r="V1" s="74">
        <v>45310</v>
      </c>
      <c r="W1" s="74">
        <v>45311</v>
      </c>
      <c r="X1" s="74">
        <v>45312</v>
      </c>
      <c r="Y1" s="74">
        <v>45313</v>
      </c>
      <c r="Z1" s="74">
        <v>45314</v>
      </c>
      <c r="AA1" s="74">
        <v>45315</v>
      </c>
      <c r="AB1" s="74">
        <v>45316</v>
      </c>
      <c r="AC1" s="74">
        <v>45317</v>
      </c>
      <c r="AD1" s="74">
        <v>45318</v>
      </c>
      <c r="AE1" s="74">
        <v>45319</v>
      </c>
      <c r="AF1" s="74">
        <v>45320</v>
      </c>
      <c r="AG1" s="74">
        <v>45321</v>
      </c>
      <c r="AH1" s="74">
        <v>45322</v>
      </c>
    </row>
    <row r="2" spans="1:34">
      <c r="A2" s="1" t="s">
        <v>1</v>
      </c>
      <c r="B2" s="1" t="s">
        <v>2</v>
      </c>
      <c r="C2" s="7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pans="1:34">
      <c r="A3" s="1">
        <v>1</v>
      </c>
      <c r="B3" s="1" t="s">
        <v>3</v>
      </c>
      <c r="C3" s="1">
        <f>SUM(D3:AH3)</f>
        <v>0</v>
      </c>
      <c r="D3" s="2"/>
      <c r="E3" s="3">
        <v>0</v>
      </c>
      <c r="F3" s="1">
        <v>0</v>
      </c>
      <c r="G3" s="2"/>
      <c r="H3" s="2"/>
      <c r="I3" s="1">
        <v>0</v>
      </c>
      <c r="J3" s="1">
        <v>0</v>
      </c>
      <c r="K3" s="1">
        <v>0</v>
      </c>
      <c r="L3" s="1">
        <v>0</v>
      </c>
      <c r="M3" s="1">
        <v>0</v>
      </c>
      <c r="N3" s="2"/>
      <c r="O3" s="2"/>
      <c r="P3" s="1">
        <v>0</v>
      </c>
      <c r="Q3" s="1">
        <v>0</v>
      </c>
      <c r="R3" s="1">
        <v>0</v>
      </c>
      <c r="S3" s="1">
        <v>0</v>
      </c>
      <c r="T3" s="1">
        <v>0</v>
      </c>
      <c r="U3" s="2"/>
      <c r="V3" s="2"/>
      <c r="W3" s="1">
        <v>0</v>
      </c>
      <c r="X3" s="1">
        <v>0</v>
      </c>
      <c r="Y3" s="1">
        <v>0</v>
      </c>
      <c r="Z3" s="1">
        <v>0</v>
      </c>
      <c r="AA3" s="2"/>
      <c r="AB3" s="2"/>
      <c r="AC3" s="2"/>
      <c r="AD3" s="2"/>
      <c r="AE3" s="2"/>
      <c r="AF3" s="2"/>
      <c r="AG3" s="2"/>
      <c r="AH3" s="2"/>
    </row>
    <row r="4" spans="1:34">
      <c r="A4" s="1">
        <v>2</v>
      </c>
      <c r="B4" s="1" t="s">
        <v>4</v>
      </c>
      <c r="C4" s="1">
        <f t="shared" ref="C4:C18" si="0">SUM(D4:AH4)</f>
        <v>10</v>
      </c>
      <c r="D4" s="2"/>
      <c r="E4" s="3">
        <v>0</v>
      </c>
      <c r="F4" s="1">
        <v>10</v>
      </c>
      <c r="G4" s="2"/>
      <c r="H4" s="2"/>
      <c r="I4" s="1">
        <v>0</v>
      </c>
      <c r="J4" s="1">
        <v>0</v>
      </c>
      <c r="K4" s="1">
        <v>0</v>
      </c>
      <c r="L4" s="1">
        <v>0</v>
      </c>
      <c r="M4" s="1">
        <v>0</v>
      </c>
      <c r="N4" s="2"/>
      <c r="O4" s="2"/>
      <c r="P4" s="1">
        <v>0</v>
      </c>
      <c r="Q4" s="1">
        <v>0</v>
      </c>
      <c r="R4" s="1">
        <v>0</v>
      </c>
      <c r="S4" s="1">
        <v>0</v>
      </c>
      <c r="T4" s="1">
        <v>0</v>
      </c>
      <c r="U4" s="2"/>
      <c r="V4" s="2"/>
      <c r="W4" s="1">
        <v>0</v>
      </c>
      <c r="X4" s="1">
        <v>0</v>
      </c>
      <c r="Y4" s="1">
        <v>0</v>
      </c>
      <c r="Z4" s="1">
        <v>0</v>
      </c>
      <c r="AA4" s="2"/>
      <c r="AB4" s="2"/>
      <c r="AC4" s="2"/>
      <c r="AD4" s="2"/>
      <c r="AE4" s="2"/>
      <c r="AF4" s="2"/>
      <c r="AG4" s="2"/>
      <c r="AH4" s="2"/>
    </row>
    <row r="5" spans="1:34">
      <c r="A5" s="1">
        <v>3</v>
      </c>
      <c r="B5" s="1" t="s">
        <v>5</v>
      </c>
      <c r="C5" s="1">
        <f t="shared" si="0"/>
        <v>0</v>
      </c>
      <c r="D5" s="2"/>
      <c r="E5" s="3">
        <v>0</v>
      </c>
      <c r="F5" s="1">
        <v>0</v>
      </c>
      <c r="G5" s="8"/>
      <c r="H5" s="8"/>
      <c r="I5" s="1">
        <v>0</v>
      </c>
      <c r="J5" s="1">
        <v>0</v>
      </c>
      <c r="K5" s="1">
        <v>0</v>
      </c>
      <c r="L5" s="1">
        <v>0</v>
      </c>
      <c r="M5" s="1">
        <v>0</v>
      </c>
      <c r="N5" s="8"/>
      <c r="O5" s="8"/>
      <c r="P5" s="1">
        <v>0</v>
      </c>
      <c r="Q5" s="1">
        <v>0</v>
      </c>
      <c r="R5" s="1">
        <v>0</v>
      </c>
      <c r="S5" s="1">
        <v>0</v>
      </c>
      <c r="T5" s="1">
        <v>0</v>
      </c>
      <c r="U5" s="8"/>
      <c r="V5" s="8"/>
      <c r="W5" s="1">
        <v>0</v>
      </c>
      <c r="X5" s="1">
        <v>0</v>
      </c>
      <c r="Y5" s="1">
        <v>0</v>
      </c>
      <c r="Z5" s="1">
        <v>0</v>
      </c>
      <c r="AA5" s="8"/>
      <c r="AB5" s="8"/>
      <c r="AC5" s="8"/>
      <c r="AD5" s="2"/>
      <c r="AE5" s="2"/>
      <c r="AF5" s="8"/>
      <c r="AG5" s="8"/>
      <c r="AH5" s="8"/>
    </row>
    <row r="6" spans="1:34">
      <c r="A6" s="1">
        <v>4</v>
      </c>
      <c r="B6" s="1" t="s">
        <v>6</v>
      </c>
      <c r="C6" s="1">
        <f t="shared" si="0"/>
        <v>0</v>
      </c>
      <c r="D6" s="2"/>
      <c r="E6" s="3">
        <v>0</v>
      </c>
      <c r="F6" s="1">
        <v>0</v>
      </c>
      <c r="G6" s="2"/>
      <c r="H6" s="2"/>
      <c r="I6" s="1">
        <v>0</v>
      </c>
      <c r="J6" s="1">
        <v>0</v>
      </c>
      <c r="K6" s="1">
        <v>0</v>
      </c>
      <c r="L6" s="1">
        <v>0</v>
      </c>
      <c r="M6" s="1">
        <v>0</v>
      </c>
      <c r="N6" s="2"/>
      <c r="O6" s="2"/>
      <c r="P6" s="1">
        <v>0</v>
      </c>
      <c r="Q6" s="1">
        <v>0</v>
      </c>
      <c r="R6" s="1">
        <v>0</v>
      </c>
      <c r="S6" s="1">
        <v>0</v>
      </c>
      <c r="T6" s="1">
        <v>0</v>
      </c>
      <c r="U6" s="2"/>
      <c r="V6" s="2"/>
      <c r="W6" s="1">
        <v>0</v>
      </c>
      <c r="X6" s="1">
        <v>0</v>
      </c>
      <c r="Y6" s="1">
        <v>0</v>
      </c>
      <c r="Z6" s="1">
        <v>0</v>
      </c>
      <c r="AA6" s="2"/>
      <c r="AB6" s="2"/>
      <c r="AC6" s="2"/>
      <c r="AD6" s="2"/>
      <c r="AE6" s="2"/>
      <c r="AF6" s="2"/>
      <c r="AG6" s="2"/>
      <c r="AH6" s="2"/>
    </row>
    <row r="7" spans="1:34">
      <c r="A7" s="1">
        <v>5</v>
      </c>
      <c r="B7" s="1" t="s">
        <v>7</v>
      </c>
      <c r="C7" s="1">
        <f t="shared" si="0"/>
        <v>16</v>
      </c>
      <c r="D7" s="2"/>
      <c r="E7" s="3">
        <v>16</v>
      </c>
      <c r="F7" s="1">
        <v>0</v>
      </c>
      <c r="G7" s="2"/>
      <c r="H7" s="2"/>
      <c r="I7" s="1">
        <v>0</v>
      </c>
      <c r="J7" s="1">
        <v>0</v>
      </c>
      <c r="K7" s="1">
        <v>0</v>
      </c>
      <c r="L7" s="1">
        <v>0</v>
      </c>
      <c r="M7" s="1">
        <v>0</v>
      </c>
      <c r="N7" s="8"/>
      <c r="O7" s="2"/>
      <c r="P7" s="1">
        <v>0</v>
      </c>
      <c r="Q7" s="1">
        <v>0</v>
      </c>
      <c r="R7" s="1">
        <v>0</v>
      </c>
      <c r="S7" s="1">
        <v>0</v>
      </c>
      <c r="T7" s="1">
        <v>0</v>
      </c>
      <c r="U7" s="2"/>
      <c r="V7" s="2"/>
      <c r="W7" s="1">
        <v>0</v>
      </c>
      <c r="X7" s="1">
        <v>0</v>
      </c>
      <c r="Y7" s="1">
        <v>0</v>
      </c>
      <c r="Z7" s="1">
        <v>0</v>
      </c>
      <c r="AA7" s="2"/>
      <c r="AB7" s="2"/>
      <c r="AC7" s="2"/>
      <c r="AD7" s="2"/>
      <c r="AE7" s="2"/>
      <c r="AF7" s="2"/>
      <c r="AG7" s="2"/>
      <c r="AH7" s="2"/>
    </row>
    <row r="8" spans="1:34">
      <c r="A8" s="1">
        <v>6</v>
      </c>
      <c r="B8" s="1" t="s">
        <v>8</v>
      </c>
      <c r="C8" s="1">
        <f t="shared" si="0"/>
        <v>32</v>
      </c>
      <c r="D8" s="2"/>
      <c r="E8" s="3">
        <v>0</v>
      </c>
      <c r="F8" s="1">
        <v>0</v>
      </c>
      <c r="G8" s="8"/>
      <c r="H8" s="8"/>
      <c r="I8" s="1">
        <v>0</v>
      </c>
      <c r="J8" s="1">
        <v>0</v>
      </c>
      <c r="K8" s="1">
        <v>0</v>
      </c>
      <c r="L8" s="1">
        <v>0</v>
      </c>
      <c r="M8" s="1">
        <v>0</v>
      </c>
      <c r="N8" s="2"/>
      <c r="O8" s="2"/>
      <c r="P8" s="1">
        <v>0</v>
      </c>
      <c r="Q8" s="1">
        <v>16</v>
      </c>
      <c r="R8" s="1">
        <v>0</v>
      </c>
      <c r="S8" s="1">
        <v>0</v>
      </c>
      <c r="T8" s="1">
        <v>0</v>
      </c>
      <c r="U8" s="2"/>
      <c r="V8" s="2"/>
      <c r="W8" s="1">
        <v>0</v>
      </c>
      <c r="X8" s="1">
        <v>0</v>
      </c>
      <c r="Y8" s="1">
        <v>0</v>
      </c>
      <c r="Z8" s="1">
        <v>16</v>
      </c>
      <c r="AA8" s="2"/>
      <c r="AB8" s="2"/>
      <c r="AC8" s="2"/>
      <c r="AD8" s="2"/>
      <c r="AE8" s="2"/>
      <c r="AF8" s="2"/>
      <c r="AG8" s="2"/>
      <c r="AH8" s="8"/>
    </row>
    <row r="9" spans="1:34">
      <c r="A9" s="1">
        <v>7</v>
      </c>
      <c r="B9" s="1" t="s">
        <v>9</v>
      </c>
      <c r="C9" s="1">
        <f t="shared" si="0"/>
        <v>24</v>
      </c>
      <c r="D9" s="2"/>
      <c r="E9" s="3">
        <v>0</v>
      </c>
      <c r="F9" s="1">
        <v>8</v>
      </c>
      <c r="G9" s="8"/>
      <c r="H9" s="8"/>
      <c r="I9" s="1">
        <v>0</v>
      </c>
      <c r="J9" s="1">
        <v>0</v>
      </c>
      <c r="K9" s="1">
        <v>0</v>
      </c>
      <c r="L9" s="1">
        <v>0</v>
      </c>
      <c r="M9" s="1">
        <v>0</v>
      </c>
      <c r="N9" s="8"/>
      <c r="O9" s="8"/>
      <c r="P9" s="1">
        <v>0</v>
      </c>
      <c r="Q9" s="1">
        <v>0</v>
      </c>
      <c r="R9" s="1">
        <v>16</v>
      </c>
      <c r="S9" s="1">
        <v>0</v>
      </c>
      <c r="T9" s="1">
        <v>0</v>
      </c>
      <c r="U9" s="8"/>
      <c r="V9" s="8"/>
      <c r="W9" s="1">
        <v>0</v>
      </c>
      <c r="X9" s="1">
        <v>0</v>
      </c>
      <c r="Y9" s="1">
        <v>0</v>
      </c>
      <c r="Z9" s="1">
        <v>0</v>
      </c>
      <c r="AA9" s="8"/>
      <c r="AB9" s="8"/>
      <c r="AC9" s="8"/>
      <c r="AD9" s="2"/>
      <c r="AE9" s="2"/>
      <c r="AF9" s="8"/>
      <c r="AG9" s="8"/>
      <c r="AH9" s="8"/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3">
        <v>0</v>
      </c>
      <c r="F10" s="1">
        <v>0</v>
      </c>
      <c r="G10" s="2"/>
      <c r="H10" s="2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/>
      <c r="O10" s="2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/>
      <c r="V10" s="2"/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2"/>
      <c r="AD10" s="2"/>
      <c r="AE10" s="2"/>
      <c r="AF10" s="2"/>
      <c r="AG10" s="2"/>
      <c r="AH10" s="2"/>
    </row>
    <row r="11" spans="1:34">
      <c r="A11" s="1">
        <v>9</v>
      </c>
      <c r="B11" s="1" t="s">
        <v>11</v>
      </c>
      <c r="C11" s="1">
        <f t="shared" si="0"/>
        <v>0</v>
      </c>
      <c r="D11" s="2"/>
      <c r="E11" s="3">
        <v>0</v>
      </c>
      <c r="F11" s="1">
        <v>0</v>
      </c>
      <c r="G11" s="2"/>
      <c r="H11" s="2"/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2"/>
      <c r="O11" s="2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2"/>
      <c r="V11" s="2"/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2"/>
      <c r="AD11" s="2"/>
      <c r="AE11" s="2"/>
      <c r="AF11" s="2"/>
      <c r="AG11" s="2"/>
      <c r="AH11" s="2"/>
    </row>
    <row r="12" spans="1:34">
      <c r="A12" s="1">
        <v>10</v>
      </c>
      <c r="B12" s="1" t="s">
        <v>12</v>
      </c>
      <c r="C12" s="1">
        <f t="shared" si="0"/>
        <v>0</v>
      </c>
      <c r="D12" s="2"/>
      <c r="E12" s="3">
        <v>0</v>
      </c>
      <c r="F12" s="1">
        <v>0</v>
      </c>
      <c r="G12" s="2"/>
      <c r="H12" s="2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2"/>
      <c r="O12" s="2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2"/>
      <c r="AD12" s="2"/>
      <c r="AE12" s="2"/>
      <c r="AF12" s="2"/>
      <c r="AG12" s="2"/>
      <c r="AH12" s="2"/>
    </row>
    <row r="13" spans="1:34">
      <c r="A13" s="1">
        <v>11</v>
      </c>
      <c r="B13" s="1" t="s">
        <v>13</v>
      </c>
      <c r="C13" s="1">
        <f t="shared" si="0"/>
        <v>2</v>
      </c>
      <c r="D13" s="2"/>
      <c r="E13" s="3">
        <v>0</v>
      </c>
      <c r="F13" s="1">
        <v>0</v>
      </c>
      <c r="G13" s="8"/>
      <c r="H13" s="8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/>
      <c r="O13" s="2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2"/>
      <c r="V13" s="2"/>
      <c r="W13" s="1">
        <v>0</v>
      </c>
      <c r="X13" s="1">
        <v>0</v>
      </c>
      <c r="Y13" s="1">
        <v>0</v>
      </c>
      <c r="Z13" s="1">
        <v>2</v>
      </c>
      <c r="AA13" s="2"/>
      <c r="AB13" s="2"/>
      <c r="AC13" s="2"/>
      <c r="AD13" s="2"/>
      <c r="AE13" s="2"/>
      <c r="AF13" s="2"/>
      <c r="AG13" s="2"/>
      <c r="AH13" s="2"/>
    </row>
    <row r="14" spans="1:34">
      <c r="A14" s="1">
        <v>12</v>
      </c>
      <c r="B14" s="1" t="s">
        <v>14</v>
      </c>
      <c r="C14" s="1">
        <f t="shared" si="0"/>
        <v>0</v>
      </c>
      <c r="D14" s="2"/>
      <c r="E14" s="3">
        <v>0</v>
      </c>
      <c r="F14" s="1">
        <v>0</v>
      </c>
      <c r="G14" s="2"/>
      <c r="H14" s="2"/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/>
      <c r="O14" s="2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2"/>
      <c r="V14" s="2"/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2"/>
      <c r="AD14" s="2"/>
      <c r="AE14" s="2"/>
      <c r="AF14" s="2"/>
      <c r="AG14" s="2"/>
      <c r="AH14" s="2"/>
    </row>
    <row r="15" spans="1:34">
      <c r="A15" s="1">
        <v>13</v>
      </c>
      <c r="B15" s="1" t="s">
        <v>16</v>
      </c>
      <c r="C15" s="1">
        <f t="shared" si="0"/>
        <v>16</v>
      </c>
      <c r="D15" s="2"/>
      <c r="E15" s="3">
        <v>0</v>
      </c>
      <c r="F15" s="1">
        <v>16</v>
      </c>
      <c r="G15" s="2"/>
      <c r="H15" s="2"/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2"/>
      <c r="O15" s="2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2"/>
      <c r="V15" s="2"/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2"/>
      <c r="AD15" s="2"/>
      <c r="AE15" s="2"/>
      <c r="AF15" s="2"/>
      <c r="AG15" s="2"/>
      <c r="AH15" s="2"/>
    </row>
    <row r="16" spans="1:34">
      <c r="A16" s="1">
        <v>14</v>
      </c>
      <c r="B16" s="1" t="s">
        <v>60</v>
      </c>
      <c r="C16" s="1">
        <f t="shared" si="0"/>
        <v>0</v>
      </c>
      <c r="D16" s="2"/>
      <c r="E16" s="3">
        <v>0</v>
      </c>
      <c r="F16" s="1">
        <v>0</v>
      </c>
      <c r="G16" s="2"/>
      <c r="H16" s="2"/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2"/>
      <c r="O16" s="2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2"/>
      <c r="V16" s="2"/>
      <c r="W16" s="1">
        <v>0</v>
      </c>
      <c r="X16" s="1">
        <v>0</v>
      </c>
      <c r="Y16" s="1">
        <v>0</v>
      </c>
      <c r="Z16" s="1">
        <v>0</v>
      </c>
      <c r="AA16" s="2"/>
      <c r="AB16" s="2"/>
      <c r="AC16" s="2"/>
      <c r="AD16" s="2"/>
      <c r="AE16" s="2"/>
      <c r="AF16" s="2"/>
      <c r="AG16" s="2"/>
      <c r="AH16" s="2"/>
    </row>
    <row r="17" spans="1:34">
      <c r="A17" s="1">
        <v>15</v>
      </c>
      <c r="B17" s="1" t="s">
        <v>66</v>
      </c>
      <c r="C17" s="1">
        <f t="shared" si="0"/>
        <v>16</v>
      </c>
      <c r="D17" s="19"/>
      <c r="E17" s="3">
        <v>0</v>
      </c>
      <c r="F17" s="1">
        <v>0</v>
      </c>
      <c r="G17" s="2"/>
      <c r="H17" s="2"/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2"/>
      <c r="O17" s="2"/>
      <c r="P17" s="1">
        <v>0</v>
      </c>
      <c r="Q17" s="1">
        <v>0</v>
      </c>
      <c r="R17" s="1">
        <v>0</v>
      </c>
      <c r="S17" s="1">
        <v>0</v>
      </c>
      <c r="T17" s="1">
        <v>16</v>
      </c>
      <c r="U17" s="2"/>
      <c r="V17" s="2"/>
      <c r="W17" s="1">
        <v>0</v>
      </c>
      <c r="X17" s="1">
        <v>0</v>
      </c>
      <c r="Y17" s="1">
        <v>0</v>
      </c>
      <c r="Z17" s="1">
        <v>0</v>
      </c>
      <c r="AA17" s="2"/>
      <c r="AB17" s="2"/>
      <c r="AC17" s="2"/>
      <c r="AD17" s="2"/>
      <c r="AE17" s="2"/>
      <c r="AF17" s="2"/>
      <c r="AG17" s="2"/>
      <c r="AH17" s="2"/>
    </row>
    <row r="18" spans="1:34">
      <c r="A18" s="1">
        <v>16</v>
      </c>
      <c r="B18" s="1" t="s">
        <v>87</v>
      </c>
      <c r="C18" s="1">
        <f t="shared" si="0"/>
        <v>16</v>
      </c>
      <c r="D18" s="19"/>
      <c r="E18" s="3">
        <v>0</v>
      </c>
      <c r="F18" s="1">
        <v>0</v>
      </c>
      <c r="G18" s="2"/>
      <c r="H18" s="2"/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/>
      <c r="O18" s="2"/>
      <c r="P18" s="1">
        <v>0</v>
      </c>
      <c r="Q18" s="1">
        <v>0</v>
      </c>
      <c r="R18" s="1">
        <v>0</v>
      </c>
      <c r="S18" s="1">
        <v>0</v>
      </c>
      <c r="T18" s="1">
        <v>16</v>
      </c>
      <c r="U18" s="2"/>
      <c r="V18" s="2"/>
      <c r="W18" s="1">
        <v>0</v>
      </c>
      <c r="X18" s="1">
        <v>0</v>
      </c>
      <c r="Y18" s="1">
        <v>0</v>
      </c>
      <c r="Z18" s="1">
        <v>0</v>
      </c>
      <c r="AA18" s="2"/>
      <c r="AB18" s="2"/>
      <c r="AC18" s="2"/>
      <c r="AD18" s="2"/>
      <c r="AE18" s="2"/>
      <c r="AF18" s="2"/>
      <c r="AG18" s="2"/>
      <c r="AH18" s="2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54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AH18"/>
  <sheetViews>
    <sheetView workbookViewId="0">
      <selection activeCell="A8" sqref="A8:XFD8"/>
    </sheetView>
  </sheetViews>
  <sheetFormatPr baseColWidth="10" defaultColWidth="8.83203125" defaultRowHeight="15"/>
  <cols>
    <col min="3" max="3" width="15.33203125" bestFit="1" customWidth="1"/>
    <col min="4" max="33" width="8.83203125" customWidth="1"/>
    <col min="36" max="36" width="0" hidden="1" customWidth="1"/>
  </cols>
  <sheetData>
    <row r="1" spans="1:34" ht="27">
      <c r="A1" s="73" t="s">
        <v>19</v>
      </c>
      <c r="B1" s="73"/>
      <c r="C1" s="64" t="s">
        <v>28</v>
      </c>
      <c r="D1" s="74">
        <v>45292</v>
      </c>
      <c r="E1" s="74">
        <v>45293</v>
      </c>
      <c r="F1" s="74">
        <v>45294</v>
      </c>
      <c r="G1" s="74">
        <v>45295</v>
      </c>
      <c r="H1" s="74">
        <v>45296</v>
      </c>
      <c r="I1" s="74">
        <v>45297</v>
      </c>
      <c r="J1" s="74">
        <v>45298</v>
      </c>
      <c r="K1" s="74">
        <v>45299</v>
      </c>
      <c r="L1" s="74">
        <v>45300</v>
      </c>
      <c r="M1" s="74">
        <v>45301</v>
      </c>
      <c r="N1" s="74">
        <v>45302</v>
      </c>
      <c r="O1" s="74">
        <v>45303</v>
      </c>
      <c r="P1" s="74">
        <v>45304</v>
      </c>
      <c r="Q1" s="74">
        <v>45305</v>
      </c>
      <c r="R1" s="74">
        <v>45306</v>
      </c>
      <c r="S1" s="74">
        <v>45307</v>
      </c>
      <c r="T1" s="74">
        <v>45308</v>
      </c>
      <c r="U1" s="74">
        <v>45309</v>
      </c>
      <c r="V1" s="74">
        <v>45310</v>
      </c>
      <c r="W1" s="74">
        <v>45311</v>
      </c>
      <c r="X1" s="74">
        <v>45312</v>
      </c>
      <c r="Y1" s="74">
        <v>45313</v>
      </c>
      <c r="Z1" s="74">
        <v>45314</v>
      </c>
      <c r="AA1" s="74">
        <v>45315</v>
      </c>
      <c r="AB1" s="74">
        <v>45316</v>
      </c>
      <c r="AC1" s="74">
        <v>45317</v>
      </c>
      <c r="AD1" s="74">
        <v>45318</v>
      </c>
      <c r="AE1" s="74">
        <v>45319</v>
      </c>
      <c r="AF1" s="74">
        <v>45320</v>
      </c>
      <c r="AG1" s="74">
        <v>45321</v>
      </c>
      <c r="AH1" s="74">
        <v>45322</v>
      </c>
    </row>
    <row r="2" spans="1:34">
      <c r="A2" s="1" t="s">
        <v>1</v>
      </c>
      <c r="B2" s="1" t="s">
        <v>2</v>
      </c>
      <c r="C2" s="7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pans="1:34">
      <c r="A3" s="1">
        <v>1</v>
      </c>
      <c r="B3" s="1" t="s">
        <v>3</v>
      </c>
      <c r="C3" s="1">
        <f>SUM(D3:AH3)</f>
        <v>0</v>
      </c>
      <c r="D3" s="2"/>
      <c r="E3" s="3">
        <v>0</v>
      </c>
      <c r="F3" s="1">
        <v>0</v>
      </c>
      <c r="G3" s="2"/>
      <c r="H3" s="2"/>
      <c r="I3" s="1">
        <v>0</v>
      </c>
      <c r="J3" s="1">
        <v>0</v>
      </c>
      <c r="K3" s="1">
        <v>0</v>
      </c>
      <c r="L3" s="1">
        <v>0</v>
      </c>
      <c r="M3" s="1">
        <v>0</v>
      </c>
      <c r="N3" s="2"/>
      <c r="O3" s="2"/>
      <c r="P3" s="1">
        <v>0</v>
      </c>
      <c r="Q3" s="1">
        <v>0</v>
      </c>
      <c r="R3" s="1">
        <v>0</v>
      </c>
      <c r="S3" s="1">
        <v>0</v>
      </c>
      <c r="T3" s="1">
        <v>0</v>
      </c>
      <c r="U3" s="2"/>
      <c r="V3" s="2"/>
      <c r="W3" s="1">
        <v>0</v>
      </c>
      <c r="X3" s="1">
        <v>0</v>
      </c>
      <c r="Y3" s="1">
        <v>0</v>
      </c>
      <c r="Z3" s="1">
        <v>0</v>
      </c>
      <c r="AA3" s="2"/>
      <c r="AB3" s="2"/>
      <c r="AC3" s="2"/>
      <c r="AD3" s="2"/>
      <c r="AE3" s="2"/>
      <c r="AF3" s="2"/>
      <c r="AG3" s="2"/>
      <c r="AH3" s="2"/>
    </row>
    <row r="4" spans="1:34">
      <c r="A4" s="1">
        <v>2</v>
      </c>
      <c r="B4" s="1" t="s">
        <v>4</v>
      </c>
      <c r="C4" s="1">
        <f t="shared" ref="C4:C18" si="0">SUM(D4:AH4)</f>
        <v>0</v>
      </c>
      <c r="D4" s="2"/>
      <c r="E4" s="3">
        <v>0</v>
      </c>
      <c r="F4" s="1">
        <v>0</v>
      </c>
      <c r="G4" s="2"/>
      <c r="H4" s="2"/>
      <c r="I4" s="1">
        <v>0</v>
      </c>
      <c r="J4" s="1">
        <v>0</v>
      </c>
      <c r="K4" s="1">
        <v>0</v>
      </c>
      <c r="L4" s="1">
        <v>0</v>
      </c>
      <c r="M4" s="1">
        <v>0</v>
      </c>
      <c r="N4" s="2"/>
      <c r="O4" s="2"/>
      <c r="P4" s="1">
        <v>0</v>
      </c>
      <c r="Q4" s="1">
        <v>0</v>
      </c>
      <c r="R4" s="1">
        <v>0</v>
      </c>
      <c r="S4" s="1">
        <v>0</v>
      </c>
      <c r="T4" s="1">
        <v>0</v>
      </c>
      <c r="U4" s="2"/>
      <c r="V4" s="2"/>
      <c r="W4" s="1">
        <v>0</v>
      </c>
      <c r="X4" s="1">
        <v>0</v>
      </c>
      <c r="Y4" s="1">
        <v>0</v>
      </c>
      <c r="Z4" s="1">
        <v>0</v>
      </c>
      <c r="AA4" s="2"/>
      <c r="AB4" s="2"/>
      <c r="AC4" s="2"/>
      <c r="AD4" s="2"/>
      <c r="AE4" s="2"/>
      <c r="AF4" s="2"/>
      <c r="AG4" s="2"/>
      <c r="AH4" s="2"/>
    </row>
    <row r="5" spans="1:34">
      <c r="A5" s="1">
        <v>3</v>
      </c>
      <c r="B5" s="1" t="s">
        <v>5</v>
      </c>
      <c r="C5" s="1">
        <f t="shared" si="0"/>
        <v>0</v>
      </c>
      <c r="D5" s="2"/>
      <c r="E5" s="3">
        <v>0</v>
      </c>
      <c r="F5" s="1">
        <v>0</v>
      </c>
      <c r="G5" s="8"/>
      <c r="H5" s="8"/>
      <c r="I5" s="1">
        <v>0</v>
      </c>
      <c r="J5" s="1">
        <v>0</v>
      </c>
      <c r="K5" s="1">
        <v>0</v>
      </c>
      <c r="L5" s="1">
        <v>0</v>
      </c>
      <c r="M5" s="1">
        <v>0</v>
      </c>
      <c r="N5" s="8"/>
      <c r="O5" s="8"/>
      <c r="P5" s="1">
        <v>0</v>
      </c>
      <c r="Q5" s="1">
        <v>0</v>
      </c>
      <c r="R5" s="1">
        <v>0</v>
      </c>
      <c r="S5" s="1">
        <v>0</v>
      </c>
      <c r="T5" s="1">
        <v>0</v>
      </c>
      <c r="U5" s="8"/>
      <c r="V5" s="8"/>
      <c r="W5" s="1">
        <v>0</v>
      </c>
      <c r="X5" s="1">
        <v>0</v>
      </c>
      <c r="Y5" s="1">
        <v>0</v>
      </c>
      <c r="Z5" s="1">
        <v>0</v>
      </c>
      <c r="AA5" s="8"/>
      <c r="AB5" s="8"/>
      <c r="AC5" s="8"/>
      <c r="AD5" s="2"/>
      <c r="AE5" s="2"/>
      <c r="AF5" s="8"/>
      <c r="AG5" s="8"/>
      <c r="AH5" s="8"/>
    </row>
    <row r="6" spans="1:34">
      <c r="A6" s="1">
        <v>4</v>
      </c>
      <c r="B6" s="1" t="s">
        <v>6</v>
      </c>
      <c r="C6" s="1">
        <f t="shared" si="0"/>
        <v>4</v>
      </c>
      <c r="D6" s="2"/>
      <c r="E6" s="3">
        <v>4</v>
      </c>
      <c r="F6" s="1">
        <v>0</v>
      </c>
      <c r="G6" s="2"/>
      <c r="H6" s="2"/>
      <c r="I6" s="1">
        <v>0</v>
      </c>
      <c r="J6" s="1">
        <v>0</v>
      </c>
      <c r="K6" s="1">
        <v>0</v>
      </c>
      <c r="L6" s="1">
        <v>0</v>
      </c>
      <c r="M6" s="1">
        <v>0</v>
      </c>
      <c r="N6" s="2"/>
      <c r="O6" s="2"/>
      <c r="P6" s="1">
        <v>0</v>
      </c>
      <c r="Q6" s="1">
        <v>0</v>
      </c>
      <c r="R6" s="1">
        <v>0</v>
      </c>
      <c r="S6" s="1">
        <v>0</v>
      </c>
      <c r="T6" s="1">
        <v>0</v>
      </c>
      <c r="U6" s="2"/>
      <c r="V6" s="2"/>
      <c r="W6" s="1">
        <v>0</v>
      </c>
      <c r="X6" s="1">
        <v>0</v>
      </c>
      <c r="Y6" s="1">
        <v>0</v>
      </c>
      <c r="Z6" s="1">
        <v>0</v>
      </c>
      <c r="AA6" s="2"/>
      <c r="AB6" s="2"/>
      <c r="AC6" s="2"/>
      <c r="AD6" s="2"/>
      <c r="AE6" s="2"/>
      <c r="AF6" s="2"/>
      <c r="AG6" s="2"/>
      <c r="AH6" s="2"/>
    </row>
    <row r="7" spans="1:34">
      <c r="A7" s="1">
        <v>5</v>
      </c>
      <c r="B7" s="1" t="s">
        <v>7</v>
      </c>
      <c r="C7" s="1">
        <f t="shared" si="0"/>
        <v>18</v>
      </c>
      <c r="D7" s="2"/>
      <c r="E7" s="3">
        <v>0</v>
      </c>
      <c r="F7" s="1">
        <v>0</v>
      </c>
      <c r="G7" s="2"/>
      <c r="H7" s="2"/>
      <c r="I7" s="1">
        <v>0</v>
      </c>
      <c r="J7" s="1">
        <v>0</v>
      </c>
      <c r="K7" s="1">
        <v>8</v>
      </c>
      <c r="L7" s="1">
        <v>10</v>
      </c>
      <c r="M7" s="1">
        <v>0</v>
      </c>
      <c r="N7" s="8"/>
      <c r="O7" s="2"/>
      <c r="P7" s="1">
        <v>0</v>
      </c>
      <c r="Q7" s="1">
        <v>0</v>
      </c>
      <c r="R7" s="1">
        <v>0</v>
      </c>
      <c r="S7" s="1">
        <v>0</v>
      </c>
      <c r="T7" s="1">
        <v>0</v>
      </c>
      <c r="U7" s="2"/>
      <c r="V7" s="2"/>
      <c r="W7" s="1">
        <v>0</v>
      </c>
      <c r="X7" s="1">
        <v>0</v>
      </c>
      <c r="Y7" s="1">
        <v>0</v>
      </c>
      <c r="Z7" s="1">
        <v>0</v>
      </c>
      <c r="AA7" s="2"/>
      <c r="AB7" s="2"/>
      <c r="AC7" s="2"/>
      <c r="AD7" s="2"/>
      <c r="AE7" s="2"/>
      <c r="AF7" s="2"/>
      <c r="AG7" s="2"/>
      <c r="AH7" s="2"/>
    </row>
    <row r="8" spans="1:34">
      <c r="A8" s="1">
        <v>6</v>
      </c>
      <c r="B8" s="1" t="s">
        <v>8</v>
      </c>
      <c r="C8" s="1">
        <f t="shared" si="0"/>
        <v>7</v>
      </c>
      <c r="D8" s="2"/>
      <c r="E8" s="3">
        <v>1</v>
      </c>
      <c r="F8" s="1">
        <v>0</v>
      </c>
      <c r="G8" s="8"/>
      <c r="H8" s="8"/>
      <c r="I8" s="1">
        <v>0</v>
      </c>
      <c r="J8" s="1">
        <v>1</v>
      </c>
      <c r="K8" s="1">
        <v>1</v>
      </c>
      <c r="L8" s="1">
        <v>1</v>
      </c>
      <c r="M8" s="1">
        <v>0</v>
      </c>
      <c r="N8" s="2"/>
      <c r="O8" s="2"/>
      <c r="P8" s="1">
        <v>0</v>
      </c>
      <c r="Q8" s="1">
        <v>0</v>
      </c>
      <c r="R8" s="1">
        <v>0</v>
      </c>
      <c r="S8" s="1">
        <v>1</v>
      </c>
      <c r="T8" s="1">
        <v>0</v>
      </c>
      <c r="U8" s="2"/>
      <c r="V8" s="2"/>
      <c r="W8" s="1">
        <v>0</v>
      </c>
      <c r="X8" s="1">
        <v>1</v>
      </c>
      <c r="Y8" s="1">
        <v>1</v>
      </c>
      <c r="Z8" s="1">
        <v>0</v>
      </c>
      <c r="AA8" s="2"/>
      <c r="AB8" s="2"/>
      <c r="AC8" s="2"/>
      <c r="AD8" s="2"/>
      <c r="AE8" s="2"/>
      <c r="AF8" s="2"/>
      <c r="AG8" s="2"/>
      <c r="AH8" s="8"/>
    </row>
    <row r="9" spans="1:34">
      <c r="A9" s="1">
        <v>7</v>
      </c>
      <c r="B9" s="1" t="s">
        <v>9</v>
      </c>
      <c r="C9" s="1">
        <f t="shared" si="0"/>
        <v>6</v>
      </c>
      <c r="D9" s="2"/>
      <c r="E9" s="3">
        <v>0</v>
      </c>
      <c r="F9" s="1">
        <v>0</v>
      </c>
      <c r="G9" s="8"/>
      <c r="H9" s="8"/>
      <c r="I9" s="1">
        <v>0</v>
      </c>
      <c r="J9" s="1">
        <v>0</v>
      </c>
      <c r="K9" s="1">
        <v>0</v>
      </c>
      <c r="L9" s="1">
        <v>6</v>
      </c>
      <c r="M9" s="1">
        <v>0</v>
      </c>
      <c r="N9" s="8"/>
      <c r="O9" s="8"/>
      <c r="P9" s="1">
        <v>0</v>
      </c>
      <c r="Q9" s="1">
        <v>0</v>
      </c>
      <c r="R9" s="1">
        <v>0</v>
      </c>
      <c r="S9" s="1">
        <v>0</v>
      </c>
      <c r="T9" s="1">
        <v>0</v>
      </c>
      <c r="U9" s="8"/>
      <c r="V9" s="8"/>
      <c r="W9" s="1">
        <v>0</v>
      </c>
      <c r="X9" s="1">
        <v>0</v>
      </c>
      <c r="Y9" s="1">
        <v>0</v>
      </c>
      <c r="Z9" s="1">
        <v>0</v>
      </c>
      <c r="AA9" s="8"/>
      <c r="AB9" s="8"/>
      <c r="AC9" s="8"/>
      <c r="AD9" s="2"/>
      <c r="AE9" s="2"/>
      <c r="AF9" s="8"/>
      <c r="AG9" s="8"/>
      <c r="AH9" s="8"/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3">
        <v>0</v>
      </c>
      <c r="F10" s="1">
        <v>0</v>
      </c>
      <c r="G10" s="2"/>
      <c r="H10" s="2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/>
      <c r="O10" s="2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/>
      <c r="V10" s="2"/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2"/>
      <c r="AD10" s="2"/>
      <c r="AE10" s="2"/>
      <c r="AF10" s="2"/>
      <c r="AG10" s="2"/>
      <c r="AH10" s="2"/>
    </row>
    <row r="11" spans="1:34">
      <c r="A11" s="1">
        <v>9</v>
      </c>
      <c r="B11" s="1" t="s">
        <v>11</v>
      </c>
      <c r="C11" s="1">
        <f t="shared" si="0"/>
        <v>0</v>
      </c>
      <c r="D11" s="2"/>
      <c r="E11" s="3">
        <v>0</v>
      </c>
      <c r="F11" s="1">
        <v>0</v>
      </c>
      <c r="G11" s="2"/>
      <c r="H11" s="2"/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2"/>
      <c r="O11" s="2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2"/>
      <c r="V11" s="2"/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2"/>
      <c r="AD11" s="2"/>
      <c r="AE11" s="2"/>
      <c r="AF11" s="2"/>
      <c r="AG11" s="2"/>
      <c r="AH11" s="2"/>
    </row>
    <row r="12" spans="1:34">
      <c r="A12" s="1">
        <v>10</v>
      </c>
      <c r="B12" s="1" t="s">
        <v>12</v>
      </c>
      <c r="C12" s="1">
        <f t="shared" si="0"/>
        <v>0</v>
      </c>
      <c r="D12" s="2"/>
      <c r="E12" s="3">
        <v>0</v>
      </c>
      <c r="F12" s="1">
        <v>0</v>
      </c>
      <c r="G12" s="2"/>
      <c r="H12" s="2"/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2"/>
      <c r="O12" s="2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2"/>
      <c r="AD12" s="2"/>
      <c r="AE12" s="2"/>
      <c r="AF12" s="2"/>
      <c r="AG12" s="2"/>
      <c r="AH12" s="2"/>
    </row>
    <row r="13" spans="1:34">
      <c r="A13" s="1">
        <v>11</v>
      </c>
      <c r="B13" s="1" t="s">
        <v>13</v>
      </c>
      <c r="C13" s="1">
        <f t="shared" si="0"/>
        <v>0</v>
      </c>
      <c r="D13" s="2"/>
      <c r="E13" s="3">
        <v>0</v>
      </c>
      <c r="F13" s="1">
        <v>0</v>
      </c>
      <c r="G13" s="8"/>
      <c r="H13" s="8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/>
      <c r="O13" s="2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2"/>
      <c r="V13" s="2"/>
      <c r="W13" s="1">
        <v>0</v>
      </c>
      <c r="X13" s="1">
        <v>0</v>
      </c>
      <c r="Y13" s="1">
        <v>0</v>
      </c>
      <c r="Z13" s="1">
        <v>0</v>
      </c>
      <c r="AA13" s="2"/>
      <c r="AB13" s="2"/>
      <c r="AC13" s="2"/>
      <c r="AD13" s="2"/>
      <c r="AE13" s="2"/>
      <c r="AF13" s="2"/>
      <c r="AG13" s="2"/>
      <c r="AH13" s="2"/>
    </row>
    <row r="14" spans="1:34">
      <c r="A14" s="1">
        <v>12</v>
      </c>
      <c r="B14" s="1" t="s">
        <v>14</v>
      </c>
      <c r="C14" s="1">
        <f t="shared" si="0"/>
        <v>0</v>
      </c>
      <c r="D14" s="2"/>
      <c r="E14" s="3">
        <v>0</v>
      </c>
      <c r="F14" s="1">
        <v>0</v>
      </c>
      <c r="G14" s="2"/>
      <c r="H14" s="2"/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/>
      <c r="O14" s="2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2"/>
      <c r="V14" s="2"/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2"/>
      <c r="AD14" s="2"/>
      <c r="AE14" s="2"/>
      <c r="AF14" s="2"/>
      <c r="AG14" s="2"/>
      <c r="AH14" s="2"/>
    </row>
    <row r="15" spans="1:34">
      <c r="A15" s="1">
        <v>13</v>
      </c>
      <c r="B15" s="1" t="s">
        <v>16</v>
      </c>
      <c r="C15" s="1">
        <f t="shared" si="0"/>
        <v>24</v>
      </c>
      <c r="D15" s="2"/>
      <c r="E15" s="3">
        <v>0</v>
      </c>
      <c r="F15" s="1">
        <v>0</v>
      </c>
      <c r="G15" s="2"/>
      <c r="H15" s="2"/>
      <c r="I15" s="1">
        <v>0</v>
      </c>
      <c r="J15" s="1">
        <v>2</v>
      </c>
      <c r="K15" s="1">
        <v>0</v>
      </c>
      <c r="L15" s="1">
        <v>8</v>
      </c>
      <c r="M15" s="1">
        <v>0</v>
      </c>
      <c r="N15" s="2"/>
      <c r="O15" s="2"/>
      <c r="P15" s="1">
        <v>0</v>
      </c>
      <c r="Q15" s="1">
        <v>0</v>
      </c>
      <c r="R15" s="1">
        <v>4</v>
      </c>
      <c r="S15" s="1">
        <v>10</v>
      </c>
      <c r="T15" s="1">
        <v>0</v>
      </c>
      <c r="U15" s="2"/>
      <c r="V15" s="2"/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2"/>
      <c r="AD15" s="2"/>
      <c r="AE15" s="2"/>
      <c r="AF15" s="2"/>
      <c r="AG15" s="2"/>
      <c r="AH15" s="2"/>
    </row>
    <row r="16" spans="1:34">
      <c r="A16" s="1">
        <v>14</v>
      </c>
      <c r="B16" s="1" t="s">
        <v>60</v>
      </c>
      <c r="C16" s="1">
        <f t="shared" si="0"/>
        <v>18</v>
      </c>
      <c r="D16" s="2"/>
      <c r="E16" s="3">
        <v>0</v>
      </c>
      <c r="F16" s="1">
        <v>0</v>
      </c>
      <c r="G16" s="2"/>
      <c r="H16" s="2"/>
      <c r="I16" s="1">
        <v>0</v>
      </c>
      <c r="J16" s="1">
        <v>0</v>
      </c>
      <c r="K16" s="1">
        <v>8</v>
      </c>
      <c r="L16" s="1">
        <v>10</v>
      </c>
      <c r="M16" s="1">
        <v>0</v>
      </c>
      <c r="N16" s="2"/>
      <c r="O16" s="2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2"/>
      <c r="V16" s="2"/>
      <c r="W16" s="1">
        <v>0</v>
      </c>
      <c r="X16" s="1">
        <v>0</v>
      </c>
      <c r="Y16" s="1">
        <v>0</v>
      </c>
      <c r="Z16" s="1">
        <v>0</v>
      </c>
      <c r="AA16" s="2"/>
      <c r="AB16" s="2"/>
      <c r="AC16" s="2"/>
      <c r="AD16" s="2"/>
      <c r="AE16" s="2"/>
      <c r="AF16" s="2"/>
      <c r="AG16" s="2"/>
      <c r="AH16" s="2"/>
    </row>
    <row r="17" spans="1:34">
      <c r="A17" s="1">
        <v>15</v>
      </c>
      <c r="B17" s="1" t="s">
        <v>66</v>
      </c>
      <c r="C17" s="1">
        <f t="shared" si="0"/>
        <v>18</v>
      </c>
      <c r="D17" s="2"/>
      <c r="E17" s="3">
        <v>0</v>
      </c>
      <c r="F17" s="1">
        <v>0</v>
      </c>
      <c r="G17" s="2"/>
      <c r="H17" s="2"/>
      <c r="I17" s="1">
        <v>0</v>
      </c>
      <c r="J17" s="1">
        <v>0</v>
      </c>
      <c r="K17" s="1">
        <v>8</v>
      </c>
      <c r="L17" s="1">
        <v>10</v>
      </c>
      <c r="M17" s="1">
        <v>0</v>
      </c>
      <c r="N17" s="2"/>
      <c r="O17" s="2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2"/>
      <c r="V17" s="2"/>
      <c r="W17" s="1">
        <v>0</v>
      </c>
      <c r="X17" s="1">
        <v>0</v>
      </c>
      <c r="Y17" s="1">
        <v>0</v>
      </c>
      <c r="Z17" s="1">
        <v>0</v>
      </c>
      <c r="AA17" s="2"/>
      <c r="AB17" s="2"/>
      <c r="AC17" s="2"/>
      <c r="AD17" s="2"/>
      <c r="AE17" s="2"/>
      <c r="AF17" s="2"/>
      <c r="AG17" s="2"/>
      <c r="AH17" s="2"/>
    </row>
    <row r="18" spans="1:34">
      <c r="A18" s="1">
        <v>16</v>
      </c>
      <c r="B18" s="1" t="s">
        <v>87</v>
      </c>
      <c r="C18" s="1">
        <f t="shared" si="0"/>
        <v>18</v>
      </c>
      <c r="D18" s="2"/>
      <c r="E18" s="3">
        <v>0</v>
      </c>
      <c r="F18" s="1">
        <v>0</v>
      </c>
      <c r="G18" s="2"/>
      <c r="H18" s="2"/>
      <c r="I18" s="1">
        <v>0</v>
      </c>
      <c r="J18" s="1">
        <v>0</v>
      </c>
      <c r="K18" s="1">
        <v>8</v>
      </c>
      <c r="L18" s="1">
        <v>10</v>
      </c>
      <c r="M18" s="1">
        <v>0</v>
      </c>
      <c r="N18" s="2"/>
      <c r="O18" s="2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2"/>
      <c r="V18" s="2"/>
      <c r="W18" s="1">
        <v>0</v>
      </c>
      <c r="X18" s="1">
        <v>0</v>
      </c>
      <c r="Y18" s="1">
        <v>0</v>
      </c>
      <c r="Z18" s="1">
        <v>0</v>
      </c>
      <c r="AA18" s="2"/>
      <c r="AB18" s="2"/>
      <c r="AC18" s="2"/>
      <c r="AD18" s="2"/>
      <c r="AE18" s="2"/>
      <c r="AF18" s="2"/>
      <c r="AG18" s="2"/>
      <c r="AH18" s="2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53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1"/>
  <sheetViews>
    <sheetView zoomScale="85" zoomScaleNormal="85" workbookViewId="0">
      <selection activeCell="AC3" sqref="AC3:AC4"/>
    </sheetView>
  </sheetViews>
  <sheetFormatPr baseColWidth="10" defaultColWidth="8.83203125" defaultRowHeight="15"/>
  <cols>
    <col min="3" max="28" width="8.83203125" hidden="1" customWidth="1"/>
    <col min="29" max="30" width="8.83203125" customWidth="1"/>
    <col min="31" max="31" width="0" hidden="1" customWidth="1"/>
  </cols>
  <sheetData>
    <row r="1" spans="1:31" ht="27">
      <c r="A1" s="70" t="s">
        <v>0</v>
      </c>
      <c r="B1" s="70"/>
      <c r="C1" s="68">
        <v>45323</v>
      </c>
      <c r="D1" s="68">
        <v>45324</v>
      </c>
      <c r="E1" s="68">
        <v>45325</v>
      </c>
      <c r="F1" s="68">
        <v>45326</v>
      </c>
      <c r="G1" s="68">
        <v>45327</v>
      </c>
      <c r="H1" s="68">
        <v>45328</v>
      </c>
      <c r="I1" s="68">
        <v>45329</v>
      </c>
      <c r="J1" s="68">
        <v>45330</v>
      </c>
      <c r="K1" s="68">
        <v>45331</v>
      </c>
      <c r="L1" s="68">
        <v>45332</v>
      </c>
      <c r="M1" s="68">
        <v>45333</v>
      </c>
      <c r="N1" s="68">
        <v>45334</v>
      </c>
      <c r="O1" s="68">
        <v>45335</v>
      </c>
      <c r="P1" s="68">
        <v>45336</v>
      </c>
      <c r="Q1" s="68">
        <v>45337</v>
      </c>
      <c r="R1" s="68">
        <v>45338</v>
      </c>
      <c r="S1" s="68">
        <v>45339</v>
      </c>
      <c r="T1" s="68">
        <v>45340</v>
      </c>
      <c r="U1" s="68">
        <v>45341</v>
      </c>
      <c r="V1" s="68">
        <v>45342</v>
      </c>
      <c r="W1" s="68">
        <v>45343</v>
      </c>
      <c r="X1" s="68">
        <v>45344</v>
      </c>
      <c r="Y1" s="68">
        <v>45345</v>
      </c>
      <c r="Z1" s="68">
        <v>45346</v>
      </c>
      <c r="AA1" s="68">
        <v>45347</v>
      </c>
      <c r="AB1" s="68">
        <v>45348</v>
      </c>
      <c r="AC1" s="68">
        <v>45349</v>
      </c>
      <c r="AD1" s="68">
        <v>45350</v>
      </c>
      <c r="AE1" s="68"/>
    </row>
    <row r="2" spans="1:31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</row>
    <row r="3" spans="1:31">
      <c r="A3" s="1">
        <v>1</v>
      </c>
      <c r="B3" s="1" t="s">
        <v>3</v>
      </c>
      <c r="C3" s="2"/>
      <c r="D3" s="2"/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2"/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2"/>
      <c r="R3" s="2"/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2"/>
      <c r="Y3" s="2"/>
      <c r="Z3" s="1" t="s">
        <v>98</v>
      </c>
      <c r="AA3" s="1" t="s">
        <v>98</v>
      </c>
      <c r="AB3" s="1" t="s">
        <v>98</v>
      </c>
      <c r="AC3" s="1" t="s">
        <v>98</v>
      </c>
      <c r="AD3" s="2"/>
      <c r="AE3" s="1"/>
    </row>
    <row r="4" spans="1:31">
      <c r="A4" s="1">
        <v>2</v>
      </c>
      <c r="B4" s="1" t="s">
        <v>4</v>
      </c>
      <c r="C4" s="2"/>
      <c r="D4" s="2"/>
      <c r="E4" s="1" t="s">
        <v>98</v>
      </c>
      <c r="F4" s="1" t="s">
        <v>98</v>
      </c>
      <c r="G4" s="1" t="s">
        <v>98</v>
      </c>
      <c r="H4" s="1" t="s">
        <v>98</v>
      </c>
      <c r="I4" s="1" t="s">
        <v>98</v>
      </c>
      <c r="J4" s="1" t="s">
        <v>98</v>
      </c>
      <c r="K4" s="2"/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2"/>
      <c r="R4" s="2"/>
      <c r="S4" s="1" t="s">
        <v>98</v>
      </c>
      <c r="T4" s="1" t="s">
        <v>98</v>
      </c>
      <c r="U4" s="1" t="s">
        <v>98</v>
      </c>
      <c r="V4" s="1" t="s">
        <v>98</v>
      </c>
      <c r="W4" s="1" t="s">
        <v>98</v>
      </c>
      <c r="X4" s="2"/>
      <c r="Y4" s="2"/>
      <c r="Z4" s="1" t="s">
        <v>92</v>
      </c>
      <c r="AA4" s="1" t="s">
        <v>92</v>
      </c>
      <c r="AB4" s="1" t="s">
        <v>92</v>
      </c>
      <c r="AC4" s="1" t="s">
        <v>92</v>
      </c>
      <c r="AD4" s="2"/>
      <c r="AE4" s="1"/>
    </row>
    <row r="5" spans="1:31">
      <c r="A5" s="1">
        <v>3</v>
      </c>
      <c r="B5" s="1" t="s">
        <v>5</v>
      </c>
      <c r="C5" s="8"/>
      <c r="D5" s="8"/>
      <c r="E5" s="1" t="s">
        <v>98</v>
      </c>
      <c r="F5" s="1" t="s">
        <v>98</v>
      </c>
      <c r="G5" s="1" t="s">
        <v>98</v>
      </c>
      <c r="H5" s="1" t="s">
        <v>98</v>
      </c>
      <c r="I5" s="1" t="s">
        <v>98</v>
      </c>
      <c r="J5" s="1" t="s">
        <v>98</v>
      </c>
      <c r="K5" s="2"/>
      <c r="L5" s="1" t="s">
        <v>98</v>
      </c>
      <c r="M5" s="1" t="s">
        <v>98</v>
      </c>
      <c r="N5" s="1" t="s">
        <v>98</v>
      </c>
      <c r="O5" s="1" t="s">
        <v>98</v>
      </c>
      <c r="P5" s="1" t="s">
        <v>98</v>
      </c>
      <c r="Q5" s="2"/>
      <c r="R5" s="2"/>
      <c r="S5" s="1" t="s">
        <v>98</v>
      </c>
      <c r="T5" s="1" t="s">
        <v>98</v>
      </c>
      <c r="U5" s="1" t="s">
        <v>98</v>
      </c>
      <c r="V5" s="1" t="s">
        <v>98</v>
      </c>
      <c r="W5" s="1" t="s">
        <v>98</v>
      </c>
      <c r="X5" s="2"/>
      <c r="Y5" s="2"/>
      <c r="Z5" s="1" t="s">
        <v>98</v>
      </c>
      <c r="AA5" s="1" t="s">
        <v>98</v>
      </c>
      <c r="AB5" s="1" t="s">
        <v>98</v>
      </c>
      <c r="AC5" s="1" t="s">
        <v>98</v>
      </c>
      <c r="AD5" s="2"/>
      <c r="AE5" s="1"/>
    </row>
    <row r="6" spans="1:31">
      <c r="A6" s="1">
        <v>4</v>
      </c>
      <c r="B6" s="1" t="s">
        <v>6</v>
      </c>
      <c r="C6" s="2"/>
      <c r="D6" s="2"/>
      <c r="E6" s="1" t="s">
        <v>98</v>
      </c>
      <c r="F6" s="1" t="s">
        <v>98</v>
      </c>
      <c r="G6" s="1" t="s">
        <v>98</v>
      </c>
      <c r="H6" s="1" t="s">
        <v>98</v>
      </c>
      <c r="I6" s="1" t="s">
        <v>98</v>
      </c>
      <c r="J6" s="1" t="s">
        <v>98</v>
      </c>
      <c r="K6" s="2"/>
      <c r="L6" s="1" t="s">
        <v>98</v>
      </c>
      <c r="M6" s="1" t="s">
        <v>98</v>
      </c>
      <c r="N6" s="1" t="s">
        <v>98</v>
      </c>
      <c r="O6" s="4" t="s">
        <v>22</v>
      </c>
      <c r="P6" s="1" t="s">
        <v>101</v>
      </c>
      <c r="Q6" s="2"/>
      <c r="R6" s="2"/>
      <c r="S6" s="1" t="s">
        <v>101</v>
      </c>
      <c r="T6" s="1" t="s">
        <v>101</v>
      </c>
      <c r="U6" s="1" t="s">
        <v>101</v>
      </c>
      <c r="V6" s="1" t="s">
        <v>101</v>
      </c>
      <c r="W6" s="1" t="s">
        <v>101</v>
      </c>
      <c r="X6" s="2"/>
      <c r="Y6" s="2"/>
      <c r="Z6" s="1" t="s">
        <v>101</v>
      </c>
      <c r="AA6" s="1" t="s">
        <v>101</v>
      </c>
      <c r="AB6" s="1" t="s">
        <v>101</v>
      </c>
      <c r="AC6" s="1" t="s">
        <v>101</v>
      </c>
      <c r="AD6" s="2"/>
      <c r="AE6" s="1"/>
    </row>
    <row r="7" spans="1:31">
      <c r="A7" s="1">
        <v>5</v>
      </c>
      <c r="B7" s="1" t="s">
        <v>7</v>
      </c>
      <c r="C7" s="2"/>
      <c r="D7" s="2"/>
      <c r="E7" s="1" t="s">
        <v>98</v>
      </c>
      <c r="F7" s="1" t="s">
        <v>98</v>
      </c>
      <c r="G7" s="1" t="s">
        <v>98</v>
      </c>
      <c r="H7" s="1" t="s">
        <v>98</v>
      </c>
      <c r="I7" s="1" t="s">
        <v>98</v>
      </c>
      <c r="J7" s="1" t="s">
        <v>98</v>
      </c>
      <c r="K7" s="2"/>
      <c r="L7" s="1" t="s">
        <v>98</v>
      </c>
      <c r="M7" s="1" t="s">
        <v>98</v>
      </c>
      <c r="N7" s="1" t="s">
        <v>98</v>
      </c>
      <c r="O7" s="1" t="s">
        <v>98</v>
      </c>
      <c r="P7" s="1" t="s">
        <v>98</v>
      </c>
      <c r="Q7" s="2"/>
      <c r="R7" s="2"/>
      <c r="S7" s="4" t="s">
        <v>22</v>
      </c>
      <c r="T7" s="1" t="s">
        <v>98</v>
      </c>
      <c r="U7" s="1" t="s">
        <v>98</v>
      </c>
      <c r="V7" s="1" t="s">
        <v>98</v>
      </c>
      <c r="W7" s="1" t="s">
        <v>98</v>
      </c>
      <c r="X7" s="2"/>
      <c r="Y7" s="2"/>
      <c r="Z7" s="1" t="s">
        <v>98</v>
      </c>
      <c r="AA7" s="1" t="s">
        <v>98</v>
      </c>
      <c r="AB7" s="1" t="s">
        <v>98</v>
      </c>
      <c r="AC7" s="1" t="s">
        <v>98</v>
      </c>
      <c r="AD7" s="2"/>
      <c r="AE7" s="1"/>
    </row>
    <row r="8" spans="1:31">
      <c r="A8" s="1">
        <v>6</v>
      </c>
      <c r="B8" s="1" t="s">
        <v>8</v>
      </c>
      <c r="C8" s="8"/>
      <c r="D8" s="8"/>
      <c r="E8" s="1" t="s">
        <v>98</v>
      </c>
      <c r="F8" s="1" t="s">
        <v>98</v>
      </c>
      <c r="G8" s="1" t="s">
        <v>98</v>
      </c>
      <c r="H8" s="1" t="s">
        <v>98</v>
      </c>
      <c r="I8" s="1" t="s">
        <v>98</v>
      </c>
      <c r="J8" s="1" t="s">
        <v>98</v>
      </c>
      <c r="K8" s="2"/>
      <c r="L8" s="1" t="s">
        <v>98</v>
      </c>
      <c r="M8" s="1" t="s">
        <v>98</v>
      </c>
      <c r="N8" s="4" t="s">
        <v>22</v>
      </c>
      <c r="O8" s="1" t="s">
        <v>98</v>
      </c>
      <c r="P8" s="1" t="s">
        <v>98</v>
      </c>
      <c r="Q8" s="2"/>
      <c r="R8" s="2"/>
      <c r="S8" s="1" t="s">
        <v>98</v>
      </c>
      <c r="T8" s="1" t="s">
        <v>98</v>
      </c>
      <c r="U8" s="1" t="s">
        <v>98</v>
      </c>
      <c r="V8" s="1" t="s">
        <v>98</v>
      </c>
      <c r="W8" s="1" t="s">
        <v>62</v>
      </c>
      <c r="X8" s="2"/>
      <c r="Y8" s="2"/>
      <c r="Z8" s="1" t="s">
        <v>98</v>
      </c>
      <c r="AA8" s="1" t="s">
        <v>98</v>
      </c>
      <c r="AB8" s="1" t="s">
        <v>98</v>
      </c>
      <c r="AC8" s="1" t="s">
        <v>98</v>
      </c>
      <c r="AD8" s="2"/>
      <c r="AE8" s="1"/>
    </row>
    <row r="9" spans="1:31">
      <c r="A9" s="1">
        <v>7</v>
      </c>
      <c r="B9" s="1" t="s">
        <v>9</v>
      </c>
      <c r="C9" s="8"/>
      <c r="D9" s="8"/>
      <c r="E9" s="1" t="s">
        <v>98</v>
      </c>
      <c r="F9" s="1" t="s">
        <v>98</v>
      </c>
      <c r="G9" s="1" t="s">
        <v>98</v>
      </c>
      <c r="H9" s="1" t="s">
        <v>98</v>
      </c>
      <c r="I9" s="1" t="s">
        <v>22</v>
      </c>
      <c r="J9" s="1" t="s">
        <v>62</v>
      </c>
      <c r="K9" s="2"/>
      <c r="L9" s="1" t="s">
        <v>98</v>
      </c>
      <c r="M9" s="1" t="s">
        <v>98</v>
      </c>
      <c r="N9" s="1" t="s">
        <v>98</v>
      </c>
      <c r="O9" s="1" t="s">
        <v>98</v>
      </c>
      <c r="P9" s="1" t="s">
        <v>101</v>
      </c>
      <c r="Q9" s="2"/>
      <c r="R9" s="2"/>
      <c r="S9" s="1" t="s">
        <v>101</v>
      </c>
      <c r="T9" s="1" t="s">
        <v>101</v>
      </c>
      <c r="U9" s="1" t="s">
        <v>101</v>
      </c>
      <c r="V9" s="1" t="s">
        <v>101</v>
      </c>
      <c r="W9" s="1" t="s">
        <v>101</v>
      </c>
      <c r="X9" s="2"/>
      <c r="Y9" s="2"/>
      <c r="Z9" s="1" t="s">
        <v>101</v>
      </c>
      <c r="AA9" s="1" t="s">
        <v>101</v>
      </c>
      <c r="AB9" s="1" t="s">
        <v>101</v>
      </c>
      <c r="AC9" s="1" t="s">
        <v>101</v>
      </c>
      <c r="AD9" s="2"/>
      <c r="AE9" s="1"/>
    </row>
    <row r="10" spans="1:31">
      <c r="A10" s="1">
        <v>8</v>
      </c>
      <c r="B10" s="1" t="s">
        <v>10</v>
      </c>
      <c r="C10" s="2"/>
      <c r="D10" s="2"/>
      <c r="E10" s="1" t="s">
        <v>98</v>
      </c>
      <c r="F10" s="1" t="s">
        <v>98</v>
      </c>
      <c r="G10" s="1" t="s">
        <v>98</v>
      </c>
      <c r="H10" s="1" t="s">
        <v>98</v>
      </c>
      <c r="I10" s="1" t="s">
        <v>98</v>
      </c>
      <c r="J10" s="1" t="s">
        <v>98</v>
      </c>
      <c r="K10" s="2"/>
      <c r="L10" s="1" t="s">
        <v>98</v>
      </c>
      <c r="M10" s="1" t="s">
        <v>98</v>
      </c>
      <c r="N10" s="1" t="s">
        <v>98</v>
      </c>
      <c r="O10" s="1" t="s">
        <v>98</v>
      </c>
      <c r="P10" s="1" t="s">
        <v>98</v>
      </c>
      <c r="Q10" s="2"/>
      <c r="R10" s="2"/>
      <c r="S10" s="1" t="s">
        <v>98</v>
      </c>
      <c r="T10" s="1" t="s">
        <v>98</v>
      </c>
      <c r="U10" s="1" t="s">
        <v>98</v>
      </c>
      <c r="V10" s="1" t="s">
        <v>98</v>
      </c>
      <c r="W10" s="1" t="s">
        <v>98</v>
      </c>
      <c r="X10" s="2"/>
      <c r="Y10" s="2"/>
      <c r="Z10" s="1" t="s">
        <v>98</v>
      </c>
      <c r="AA10" s="1" t="s">
        <v>98</v>
      </c>
      <c r="AB10" s="1" t="s">
        <v>98</v>
      </c>
      <c r="AC10" s="1" t="s">
        <v>98</v>
      </c>
      <c r="AD10" s="2"/>
      <c r="AE10" s="1"/>
    </row>
    <row r="11" spans="1:31">
      <c r="A11" s="1">
        <v>9</v>
      </c>
      <c r="B11" s="1" t="s">
        <v>11</v>
      </c>
      <c r="C11" s="2"/>
      <c r="D11" s="2"/>
      <c r="E11" s="1" t="s">
        <v>98</v>
      </c>
      <c r="F11" s="1" t="s">
        <v>98</v>
      </c>
      <c r="G11" s="1" t="s">
        <v>98</v>
      </c>
      <c r="H11" s="1" t="s">
        <v>98</v>
      </c>
      <c r="I11" s="1" t="s">
        <v>98</v>
      </c>
      <c r="J11" s="1" t="s">
        <v>98</v>
      </c>
      <c r="K11" s="2"/>
      <c r="L11" s="1" t="s">
        <v>98</v>
      </c>
      <c r="M11" s="1" t="s">
        <v>98</v>
      </c>
      <c r="N11" s="1" t="s">
        <v>98</v>
      </c>
      <c r="O11" s="1" t="s">
        <v>98</v>
      </c>
      <c r="P11" s="1" t="s">
        <v>98</v>
      </c>
      <c r="Q11" s="2"/>
      <c r="R11" s="2"/>
      <c r="S11" s="1" t="s">
        <v>98</v>
      </c>
      <c r="T11" s="4" t="s">
        <v>22</v>
      </c>
      <c r="U11" s="1" t="s">
        <v>98</v>
      </c>
      <c r="V11" s="1" t="s">
        <v>98</v>
      </c>
      <c r="W11" s="1" t="s">
        <v>98</v>
      </c>
      <c r="X11" s="2"/>
      <c r="Y11" s="2"/>
      <c r="Z11" s="4" t="s">
        <v>22</v>
      </c>
      <c r="AA11" s="7" t="s">
        <v>30</v>
      </c>
      <c r="AB11" s="1" t="s">
        <v>98</v>
      </c>
      <c r="AC11" s="1" t="s">
        <v>98</v>
      </c>
      <c r="AD11" s="2"/>
      <c r="AE11" s="1"/>
    </row>
    <row r="12" spans="1:31">
      <c r="A12" s="1">
        <v>10</v>
      </c>
      <c r="B12" s="1" t="s">
        <v>12</v>
      </c>
      <c r="C12" s="2"/>
      <c r="D12" s="2"/>
      <c r="E12" s="1" t="s">
        <v>98</v>
      </c>
      <c r="F12" s="1" t="s">
        <v>98</v>
      </c>
      <c r="G12" s="1" t="s">
        <v>98</v>
      </c>
      <c r="H12" s="1" t="s">
        <v>98</v>
      </c>
      <c r="I12" s="1" t="s">
        <v>98</v>
      </c>
      <c r="J12" s="1" t="s">
        <v>98</v>
      </c>
      <c r="K12" s="2"/>
      <c r="L12" s="1" t="s">
        <v>98</v>
      </c>
      <c r="M12" s="4" t="s">
        <v>22</v>
      </c>
      <c r="N12" s="1" t="s">
        <v>98</v>
      </c>
      <c r="O12" s="1" t="s">
        <v>98</v>
      </c>
      <c r="P12" s="1" t="s">
        <v>101</v>
      </c>
      <c r="Q12" s="2"/>
      <c r="R12" s="2"/>
      <c r="S12" s="1" t="s">
        <v>101</v>
      </c>
      <c r="T12" s="1" t="s">
        <v>101</v>
      </c>
      <c r="U12" s="1" t="s">
        <v>101</v>
      </c>
      <c r="V12" s="1" t="s">
        <v>101</v>
      </c>
      <c r="W12" s="1" t="s">
        <v>101</v>
      </c>
      <c r="X12" s="2"/>
      <c r="Y12" s="2"/>
      <c r="Z12" s="1" t="s">
        <v>101</v>
      </c>
      <c r="AA12" s="1" t="s">
        <v>101</v>
      </c>
      <c r="AB12" s="1" t="s">
        <v>101</v>
      </c>
      <c r="AC12" s="1" t="s">
        <v>101</v>
      </c>
      <c r="AD12" s="2"/>
      <c r="AE12" s="1"/>
    </row>
    <row r="13" spans="1:31">
      <c r="A13" s="1">
        <v>11</v>
      </c>
      <c r="B13" s="1" t="s">
        <v>13</v>
      </c>
      <c r="C13" s="2"/>
      <c r="D13" s="2"/>
      <c r="E13" s="1" t="s">
        <v>98</v>
      </c>
      <c r="F13" s="1" t="s">
        <v>98</v>
      </c>
      <c r="G13" s="1" t="s">
        <v>98</v>
      </c>
      <c r="H13" s="1" t="s">
        <v>98</v>
      </c>
      <c r="I13" s="1" t="s">
        <v>98</v>
      </c>
      <c r="J13" s="1" t="s">
        <v>22</v>
      </c>
      <c r="K13" s="2"/>
      <c r="L13" s="1" t="s">
        <v>62</v>
      </c>
      <c r="M13" s="1" t="s">
        <v>98</v>
      </c>
      <c r="N13" s="4" t="s">
        <v>62</v>
      </c>
      <c r="O13" s="1" t="s">
        <v>98</v>
      </c>
      <c r="P13" s="1" t="s">
        <v>101</v>
      </c>
      <c r="Q13" s="2"/>
      <c r="R13" s="2"/>
      <c r="S13" s="1" t="s">
        <v>101</v>
      </c>
      <c r="T13" s="1" t="s">
        <v>101</v>
      </c>
      <c r="U13" s="1" t="s">
        <v>101</v>
      </c>
      <c r="V13" s="1" t="s">
        <v>101</v>
      </c>
      <c r="W13" s="1" t="s">
        <v>101</v>
      </c>
      <c r="X13" s="2"/>
      <c r="Y13" s="2"/>
      <c r="Z13" s="1" t="s">
        <v>101</v>
      </c>
      <c r="AA13" s="1" t="s">
        <v>101</v>
      </c>
      <c r="AB13" s="1" t="s">
        <v>101</v>
      </c>
      <c r="AC13" s="1" t="s">
        <v>101</v>
      </c>
      <c r="AD13" s="2"/>
      <c r="AE13" s="1"/>
    </row>
    <row r="14" spans="1:31">
      <c r="A14" s="1">
        <v>12</v>
      </c>
      <c r="B14" s="1" t="s">
        <v>14</v>
      </c>
      <c r="C14" s="2"/>
      <c r="D14" s="2"/>
      <c r="E14" s="1" t="s">
        <v>98</v>
      </c>
      <c r="F14" s="1" t="s">
        <v>98</v>
      </c>
      <c r="G14" s="1" t="s">
        <v>98</v>
      </c>
      <c r="H14" s="1" t="s">
        <v>98</v>
      </c>
      <c r="I14" s="1" t="s">
        <v>98</v>
      </c>
      <c r="J14" s="1" t="s">
        <v>22</v>
      </c>
      <c r="K14" s="2"/>
      <c r="L14" s="1" t="s">
        <v>98</v>
      </c>
      <c r="M14" s="1" t="s">
        <v>98</v>
      </c>
      <c r="N14" s="1" t="s">
        <v>98</v>
      </c>
      <c r="O14" s="4" t="s">
        <v>22</v>
      </c>
      <c r="P14" s="1" t="s">
        <v>98</v>
      </c>
      <c r="Q14" s="2"/>
      <c r="R14" s="2"/>
      <c r="S14" s="4" t="s">
        <v>22</v>
      </c>
      <c r="T14" s="1" t="s">
        <v>98</v>
      </c>
      <c r="U14" s="1" t="s">
        <v>98</v>
      </c>
      <c r="V14" s="4" t="s">
        <v>22</v>
      </c>
      <c r="W14" s="1" t="s">
        <v>92</v>
      </c>
      <c r="X14" s="2"/>
      <c r="Y14" s="2"/>
      <c r="Z14" s="1" t="s">
        <v>92</v>
      </c>
      <c r="AA14" s="1" t="s">
        <v>92</v>
      </c>
      <c r="AB14" s="1" t="s">
        <v>92</v>
      </c>
      <c r="AC14" s="1" t="s">
        <v>92</v>
      </c>
      <c r="AD14" s="2"/>
      <c r="AE14" s="1"/>
    </row>
    <row r="15" spans="1:31">
      <c r="A15" s="1">
        <v>13</v>
      </c>
      <c r="B15" s="1" t="s">
        <v>16</v>
      </c>
      <c r="C15" s="2"/>
      <c r="D15" s="2"/>
      <c r="E15" s="1" t="s">
        <v>98</v>
      </c>
      <c r="F15" s="1" t="s">
        <v>98</v>
      </c>
      <c r="G15" s="1" t="s">
        <v>98</v>
      </c>
      <c r="H15" s="1" t="s">
        <v>98</v>
      </c>
      <c r="I15" s="1" t="s">
        <v>98</v>
      </c>
      <c r="J15" s="1" t="s">
        <v>22</v>
      </c>
      <c r="K15" s="2"/>
      <c r="L15" s="1" t="s">
        <v>98</v>
      </c>
      <c r="M15" s="1" t="s">
        <v>98</v>
      </c>
      <c r="N15" s="1" t="s">
        <v>98</v>
      </c>
      <c r="O15" s="1" t="s">
        <v>98</v>
      </c>
      <c r="P15" s="1" t="s">
        <v>98</v>
      </c>
      <c r="Q15" s="2"/>
      <c r="R15" s="2"/>
      <c r="S15" s="1" t="s">
        <v>98</v>
      </c>
      <c r="T15" s="1" t="s">
        <v>98</v>
      </c>
      <c r="U15" s="1" t="s">
        <v>98</v>
      </c>
      <c r="V15" s="1" t="s">
        <v>98</v>
      </c>
      <c r="W15" s="1" t="s">
        <v>98</v>
      </c>
      <c r="X15" s="2"/>
      <c r="Y15" s="2"/>
      <c r="Z15" s="1" t="s">
        <v>98</v>
      </c>
      <c r="AA15" s="4" t="s">
        <v>22</v>
      </c>
      <c r="AB15" s="1" t="s">
        <v>62</v>
      </c>
      <c r="AC15" s="4" t="s">
        <v>22</v>
      </c>
      <c r="AD15" s="2"/>
      <c r="AE15" s="1"/>
    </row>
    <row r="16" spans="1:31">
      <c r="A16" s="1">
        <v>14</v>
      </c>
      <c r="B16" s="1" t="s">
        <v>60</v>
      </c>
      <c r="C16" s="2"/>
      <c r="D16" s="2"/>
      <c r="E16" s="1" t="s">
        <v>98</v>
      </c>
      <c r="F16" s="1" t="s">
        <v>98</v>
      </c>
      <c r="G16" s="1" t="s">
        <v>98</v>
      </c>
      <c r="H16" s="1" t="s">
        <v>98</v>
      </c>
      <c r="I16" s="1" t="s">
        <v>98</v>
      </c>
      <c r="J16" s="1" t="s">
        <v>98</v>
      </c>
      <c r="K16" s="2"/>
      <c r="L16" s="1" t="s">
        <v>98</v>
      </c>
      <c r="M16" s="1" t="s">
        <v>98</v>
      </c>
      <c r="N16" s="1" t="s">
        <v>98</v>
      </c>
      <c r="O16" s="1" t="s">
        <v>98</v>
      </c>
      <c r="P16" s="4" t="s">
        <v>22</v>
      </c>
      <c r="Q16" s="2"/>
      <c r="R16" s="2"/>
      <c r="S16" s="1" t="s">
        <v>98</v>
      </c>
      <c r="T16" s="1" t="s">
        <v>98</v>
      </c>
      <c r="U16" s="1" t="s">
        <v>98</v>
      </c>
      <c r="V16" s="4" t="s">
        <v>22</v>
      </c>
      <c r="W16" s="1" t="s">
        <v>98</v>
      </c>
      <c r="X16" s="2"/>
      <c r="Y16" s="2"/>
      <c r="Z16" s="1" t="s">
        <v>98</v>
      </c>
      <c r="AA16" s="1" t="s">
        <v>98</v>
      </c>
      <c r="AB16" s="1" t="s">
        <v>98</v>
      </c>
      <c r="AC16" s="1" t="s">
        <v>98</v>
      </c>
      <c r="AD16" s="2"/>
      <c r="AE16" s="1"/>
    </row>
    <row r="17" spans="1:31">
      <c r="A17" s="1">
        <v>15</v>
      </c>
      <c r="B17" s="1" t="s">
        <v>66</v>
      </c>
      <c r="C17" s="2"/>
      <c r="D17" s="2"/>
      <c r="E17" s="1" t="s">
        <v>98</v>
      </c>
      <c r="F17" s="1" t="s">
        <v>98</v>
      </c>
      <c r="G17" s="1" t="s">
        <v>98</v>
      </c>
      <c r="H17" s="1" t="s">
        <v>98</v>
      </c>
      <c r="I17" s="1" t="s">
        <v>98</v>
      </c>
      <c r="J17" s="1" t="s">
        <v>98</v>
      </c>
      <c r="K17" s="2"/>
      <c r="L17" s="1" t="s">
        <v>98</v>
      </c>
      <c r="M17" s="1" t="s">
        <v>98</v>
      </c>
      <c r="N17" s="1" t="s">
        <v>98</v>
      </c>
      <c r="O17" s="7" t="s">
        <v>30</v>
      </c>
      <c r="P17" s="4" t="s">
        <v>22</v>
      </c>
      <c r="Q17" s="2"/>
      <c r="R17" s="2"/>
      <c r="S17" s="1" t="s">
        <v>98</v>
      </c>
      <c r="T17" s="1" t="s">
        <v>98</v>
      </c>
      <c r="U17" s="1" t="s">
        <v>98</v>
      </c>
      <c r="V17" s="1" t="s">
        <v>98</v>
      </c>
      <c r="W17" s="1" t="s">
        <v>98</v>
      </c>
      <c r="X17" s="2"/>
      <c r="Y17" s="2"/>
      <c r="Z17" s="1" t="s">
        <v>98</v>
      </c>
      <c r="AA17" s="1" t="s">
        <v>98</v>
      </c>
      <c r="AB17" s="1" t="s">
        <v>98</v>
      </c>
      <c r="AC17" s="1" t="s">
        <v>98</v>
      </c>
      <c r="AD17" s="2"/>
      <c r="AE17" s="1"/>
    </row>
    <row r="18" spans="1:31">
      <c r="A18" s="1">
        <v>16</v>
      </c>
      <c r="B18" s="1" t="s">
        <v>87</v>
      </c>
      <c r="C18" s="2"/>
      <c r="D18" s="2"/>
      <c r="E18" s="1" t="s">
        <v>98</v>
      </c>
      <c r="F18" s="1" t="s">
        <v>98</v>
      </c>
      <c r="G18" s="1" t="s">
        <v>98</v>
      </c>
      <c r="H18" s="1" t="s">
        <v>98</v>
      </c>
      <c r="I18" s="1" t="s">
        <v>98</v>
      </c>
      <c r="J18" s="1" t="s">
        <v>98</v>
      </c>
      <c r="K18" s="2"/>
      <c r="L18" s="1" t="s">
        <v>98</v>
      </c>
      <c r="M18" s="1" t="s">
        <v>98</v>
      </c>
      <c r="N18" s="1" t="s">
        <v>98</v>
      </c>
      <c r="O18" s="1" t="s">
        <v>98</v>
      </c>
      <c r="P18" s="1" t="s">
        <v>98</v>
      </c>
      <c r="Q18" s="2"/>
      <c r="R18" s="2"/>
      <c r="S18" s="1" t="s">
        <v>98</v>
      </c>
      <c r="T18" s="1" t="s">
        <v>98</v>
      </c>
      <c r="U18" s="1" t="s">
        <v>98</v>
      </c>
      <c r="V18" s="1" t="s">
        <v>98</v>
      </c>
      <c r="W18" s="1" t="s">
        <v>98</v>
      </c>
      <c r="X18" s="2"/>
      <c r="Y18" s="2"/>
      <c r="Z18" s="1" t="s">
        <v>98</v>
      </c>
      <c r="AA18" s="1" t="s">
        <v>98</v>
      </c>
      <c r="AB18" s="1" t="s">
        <v>98</v>
      </c>
      <c r="AC18" s="1" t="s">
        <v>98</v>
      </c>
      <c r="AD18" s="2"/>
      <c r="AE18" s="1"/>
    </row>
    <row r="19" spans="1:31" ht="18">
      <c r="A19" s="20" t="s">
        <v>25</v>
      </c>
      <c r="B19" t="s">
        <v>23</v>
      </c>
    </row>
    <row r="20" spans="1:31">
      <c r="A20" s="4" t="s">
        <v>22</v>
      </c>
      <c r="B20" t="s">
        <v>24</v>
      </c>
    </row>
    <row r="21" spans="1:31">
      <c r="A21" s="7" t="s">
        <v>30</v>
      </c>
      <c r="B21" s="6" t="s">
        <v>29</v>
      </c>
    </row>
  </sheetData>
  <mergeCells count="30"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8">
    <cfRule type="duplicateValues" dxfId="52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F18"/>
  <sheetViews>
    <sheetView zoomScale="85" zoomScaleNormal="85" workbookViewId="0">
      <selection activeCell="AJ24" sqref="AJ24"/>
    </sheetView>
  </sheetViews>
  <sheetFormatPr baseColWidth="10" defaultColWidth="8.83203125" defaultRowHeight="15"/>
  <cols>
    <col min="3" max="3" width="15.33203125" bestFit="1" customWidth="1"/>
    <col min="4" max="8" width="8.83203125" hidden="1" customWidth="1"/>
    <col min="9" max="9" width="9.1640625" hidden="1" customWidth="1"/>
    <col min="10" max="29" width="8.83203125" hidden="1" customWidth="1"/>
    <col min="30" max="31" width="8.83203125" customWidth="1"/>
    <col min="32" max="32" width="8.83203125" hidden="1" customWidth="1"/>
  </cols>
  <sheetData>
    <row r="1" spans="1:32" ht="27">
      <c r="A1" s="71" t="s">
        <v>17</v>
      </c>
      <c r="B1" s="71"/>
      <c r="C1" s="64" t="s">
        <v>33</v>
      </c>
      <c r="D1" s="74">
        <v>45323</v>
      </c>
      <c r="E1" s="74">
        <v>45324</v>
      </c>
      <c r="F1" s="74">
        <v>45325</v>
      </c>
      <c r="G1" s="74">
        <v>45326</v>
      </c>
      <c r="H1" s="74">
        <v>45327</v>
      </c>
      <c r="I1" s="74">
        <v>45328</v>
      </c>
      <c r="J1" s="74">
        <v>45329</v>
      </c>
      <c r="K1" s="74">
        <v>45330</v>
      </c>
      <c r="L1" s="74">
        <v>45331</v>
      </c>
      <c r="M1" s="74">
        <v>45332</v>
      </c>
      <c r="N1" s="74">
        <v>45333</v>
      </c>
      <c r="O1" s="74">
        <v>45334</v>
      </c>
      <c r="P1" s="74">
        <v>45335</v>
      </c>
      <c r="Q1" s="74">
        <v>45336</v>
      </c>
      <c r="R1" s="74">
        <v>45337</v>
      </c>
      <c r="S1" s="74">
        <v>45338</v>
      </c>
      <c r="T1" s="74">
        <v>45339</v>
      </c>
      <c r="U1" s="74">
        <v>45340</v>
      </c>
      <c r="V1" s="74">
        <v>45341</v>
      </c>
      <c r="W1" s="74">
        <v>45342</v>
      </c>
      <c r="X1" s="74">
        <v>45343</v>
      </c>
      <c r="Y1" s="74">
        <v>45344</v>
      </c>
      <c r="Z1" s="74">
        <v>45345</v>
      </c>
      <c r="AA1" s="74">
        <v>45346</v>
      </c>
      <c r="AB1" s="74">
        <v>45347</v>
      </c>
      <c r="AC1" s="74">
        <v>45348</v>
      </c>
      <c r="AD1" s="74">
        <v>45349</v>
      </c>
      <c r="AE1" s="74">
        <v>45350</v>
      </c>
      <c r="AF1" s="74">
        <v>45351</v>
      </c>
    </row>
    <row r="2" spans="1:32">
      <c r="A2" s="1" t="s">
        <v>1</v>
      </c>
      <c r="B2" s="1" t="s">
        <v>2</v>
      </c>
      <c r="C2" s="7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</row>
    <row r="3" spans="1:32">
      <c r="A3" s="1">
        <v>1</v>
      </c>
      <c r="B3" s="1" t="s">
        <v>3</v>
      </c>
      <c r="C3" s="1">
        <f t="shared" ref="C3:C18" si="0">SUM(D3:AF3)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1">
        <v>0</v>
      </c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">
        <v>0</v>
      </c>
      <c r="AC3" s="1">
        <v>0</v>
      </c>
      <c r="AD3" s="1">
        <v>0</v>
      </c>
      <c r="AE3" s="2"/>
      <c r="AF3" s="1"/>
    </row>
    <row r="4" spans="1:32">
      <c r="A4" s="1">
        <v>2</v>
      </c>
      <c r="B4" s="1" t="s">
        <v>4</v>
      </c>
      <c r="C4" s="1">
        <f t="shared" si="0"/>
        <v>0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1">
        <v>0</v>
      </c>
      <c r="N4" s="1">
        <v>0</v>
      </c>
      <c r="O4" s="1">
        <v>0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">
        <v>0</v>
      </c>
      <c r="AC4" s="1">
        <v>0</v>
      </c>
      <c r="AD4" s="1">
        <v>0</v>
      </c>
      <c r="AE4" s="2"/>
      <c r="AF4" s="1"/>
    </row>
    <row r="5" spans="1:32">
      <c r="A5" s="1">
        <v>3</v>
      </c>
      <c r="B5" s="1" t="s">
        <v>5</v>
      </c>
      <c r="C5" s="1">
        <f t="shared" si="0"/>
        <v>4</v>
      </c>
      <c r="D5" s="8"/>
      <c r="E5" s="8"/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1">
        <v>4</v>
      </c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">
        <v>0</v>
      </c>
      <c r="AC5" s="1">
        <v>0</v>
      </c>
      <c r="AD5" s="1">
        <v>0</v>
      </c>
      <c r="AE5" s="2"/>
      <c r="AF5" s="1"/>
    </row>
    <row r="6" spans="1:32">
      <c r="A6" s="1">
        <v>4</v>
      </c>
      <c r="B6" s="1" t="s">
        <v>6</v>
      </c>
      <c r="C6" s="1">
        <f t="shared" si="0"/>
        <v>24</v>
      </c>
      <c r="D6" s="2"/>
      <c r="E6" s="2"/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2"/>
      <c r="M6" s="1">
        <v>8</v>
      </c>
      <c r="N6" s="1">
        <v>0</v>
      </c>
      <c r="O6" s="1">
        <v>0</v>
      </c>
      <c r="P6" s="1">
        <v>16</v>
      </c>
      <c r="Q6" s="1">
        <v>0</v>
      </c>
      <c r="R6" s="2"/>
      <c r="S6" s="2"/>
      <c r="T6" s="1">
        <v>0</v>
      </c>
      <c r="U6" s="1">
        <v>0</v>
      </c>
      <c r="V6" s="1">
        <v>0</v>
      </c>
      <c r="W6" s="1">
        <v>0</v>
      </c>
      <c r="X6" s="1">
        <v>0</v>
      </c>
      <c r="Y6" s="2"/>
      <c r="Z6" s="2"/>
      <c r="AA6" s="1">
        <v>0</v>
      </c>
      <c r="AB6" s="1">
        <v>0</v>
      </c>
      <c r="AC6" s="1">
        <v>0</v>
      </c>
      <c r="AD6" s="1">
        <v>0</v>
      </c>
      <c r="AE6" s="2"/>
      <c r="AF6" s="1"/>
    </row>
    <row r="7" spans="1:32">
      <c r="A7" s="1">
        <v>5</v>
      </c>
      <c r="B7" s="1" t="s">
        <v>7</v>
      </c>
      <c r="C7" s="1">
        <f t="shared" si="0"/>
        <v>16</v>
      </c>
      <c r="D7" s="2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1">
        <v>0</v>
      </c>
      <c r="N7" s="1">
        <v>0</v>
      </c>
      <c r="O7" s="1">
        <v>0</v>
      </c>
      <c r="P7" s="1">
        <v>0</v>
      </c>
      <c r="Q7" s="1">
        <v>0</v>
      </c>
      <c r="R7" s="2"/>
      <c r="S7" s="2"/>
      <c r="T7" s="1">
        <v>16</v>
      </c>
      <c r="U7" s="1">
        <v>0</v>
      </c>
      <c r="V7" s="1">
        <v>0</v>
      </c>
      <c r="W7" s="1">
        <v>0</v>
      </c>
      <c r="X7" s="1">
        <v>0</v>
      </c>
      <c r="Y7" s="2"/>
      <c r="Z7" s="2"/>
      <c r="AA7" s="1">
        <v>0</v>
      </c>
      <c r="AB7" s="1">
        <v>0</v>
      </c>
      <c r="AC7" s="1">
        <v>0</v>
      </c>
      <c r="AD7" s="1">
        <v>0</v>
      </c>
      <c r="AE7" s="2"/>
      <c r="AF7" s="1"/>
    </row>
    <row r="8" spans="1:32">
      <c r="A8" s="1">
        <v>6</v>
      </c>
      <c r="B8" s="1" t="s">
        <v>8</v>
      </c>
      <c r="C8" s="1">
        <f t="shared" si="0"/>
        <v>24</v>
      </c>
      <c r="D8" s="8"/>
      <c r="E8" s="8"/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2"/>
      <c r="M8" s="1">
        <v>0</v>
      </c>
      <c r="N8" s="1">
        <v>0</v>
      </c>
      <c r="O8" s="1">
        <v>16</v>
      </c>
      <c r="P8" s="1">
        <v>0</v>
      </c>
      <c r="Q8" s="1">
        <v>0</v>
      </c>
      <c r="R8" s="2"/>
      <c r="S8" s="2"/>
      <c r="T8" s="1">
        <v>0</v>
      </c>
      <c r="U8" s="1">
        <v>0</v>
      </c>
      <c r="V8" s="1">
        <v>0</v>
      </c>
      <c r="W8" s="1">
        <v>8</v>
      </c>
      <c r="X8" s="1">
        <v>0</v>
      </c>
      <c r="Y8" s="2"/>
      <c r="Z8" s="2"/>
      <c r="AA8" s="1">
        <v>0</v>
      </c>
      <c r="AB8" s="1">
        <v>0</v>
      </c>
      <c r="AC8" s="1">
        <v>0</v>
      </c>
      <c r="AD8" s="1">
        <v>0</v>
      </c>
      <c r="AE8" s="2"/>
      <c r="AF8" s="1"/>
    </row>
    <row r="9" spans="1:32">
      <c r="A9" s="1">
        <v>7</v>
      </c>
      <c r="B9" s="1" t="s">
        <v>9</v>
      </c>
      <c r="C9" s="1">
        <f t="shared" si="0"/>
        <v>24</v>
      </c>
      <c r="D9" s="8"/>
      <c r="E9" s="8"/>
      <c r="F9" s="1">
        <v>0</v>
      </c>
      <c r="G9" s="1">
        <v>0</v>
      </c>
      <c r="H9" s="1">
        <v>0</v>
      </c>
      <c r="I9" s="1">
        <v>0</v>
      </c>
      <c r="J9" s="1">
        <v>16</v>
      </c>
      <c r="K9" s="1">
        <v>0</v>
      </c>
      <c r="L9" s="2"/>
      <c r="M9" s="1">
        <v>0</v>
      </c>
      <c r="N9" s="1">
        <v>0</v>
      </c>
      <c r="O9" s="1">
        <v>0</v>
      </c>
      <c r="P9" s="1">
        <v>8</v>
      </c>
      <c r="Q9" s="1">
        <v>0</v>
      </c>
      <c r="R9" s="2"/>
      <c r="S9" s="2"/>
      <c r="T9" s="1">
        <v>0</v>
      </c>
      <c r="U9" s="1">
        <v>0</v>
      </c>
      <c r="V9" s="1">
        <v>0</v>
      </c>
      <c r="W9" s="1">
        <v>0</v>
      </c>
      <c r="X9" s="1">
        <v>0</v>
      </c>
      <c r="Y9" s="2"/>
      <c r="Z9" s="2"/>
      <c r="AA9" s="1">
        <v>0</v>
      </c>
      <c r="AB9" s="1">
        <v>0</v>
      </c>
      <c r="AC9" s="1">
        <v>0</v>
      </c>
      <c r="AD9" s="1">
        <v>0</v>
      </c>
      <c r="AE9" s="2"/>
      <c r="AF9" s="1"/>
    </row>
    <row r="10" spans="1:32">
      <c r="A10" s="1">
        <v>8</v>
      </c>
      <c r="B10" s="1" t="s">
        <v>10</v>
      </c>
      <c r="C10" s="1">
        <f t="shared" si="0"/>
        <v>0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0</v>
      </c>
      <c r="AB10" s="1">
        <v>0</v>
      </c>
      <c r="AC10" s="1">
        <v>0</v>
      </c>
      <c r="AD10" s="1">
        <v>0</v>
      </c>
      <c r="AE10" s="2"/>
      <c r="AF10" s="1"/>
    </row>
    <row r="11" spans="1:32">
      <c r="A11" s="1">
        <v>9</v>
      </c>
      <c r="B11" s="1" t="s">
        <v>11</v>
      </c>
      <c r="C11" s="1">
        <f t="shared" si="0"/>
        <v>24</v>
      </c>
      <c r="D11" s="2"/>
      <c r="E11" s="2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16</v>
      </c>
      <c r="V11" s="1">
        <v>0</v>
      </c>
      <c r="W11" s="1">
        <v>0</v>
      </c>
      <c r="X11" s="1">
        <v>0</v>
      </c>
      <c r="Y11" s="2"/>
      <c r="Z11" s="2"/>
      <c r="AA11" s="1">
        <v>8</v>
      </c>
      <c r="AB11" s="1">
        <v>0</v>
      </c>
      <c r="AC11" s="1">
        <v>0</v>
      </c>
      <c r="AD11" s="1">
        <v>0</v>
      </c>
      <c r="AE11" s="2"/>
      <c r="AF11" s="1"/>
    </row>
    <row r="12" spans="1:32">
      <c r="A12" s="1">
        <v>10</v>
      </c>
      <c r="B12" s="1" t="s">
        <v>12</v>
      </c>
      <c r="C12" s="1">
        <f t="shared" si="0"/>
        <v>16</v>
      </c>
      <c r="D12" s="2"/>
      <c r="E12" s="2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1">
        <v>0</v>
      </c>
      <c r="N12" s="1">
        <v>16</v>
      </c>
      <c r="O12" s="1">
        <v>0</v>
      </c>
      <c r="P12" s="1">
        <v>0</v>
      </c>
      <c r="Q12" s="1">
        <v>0</v>
      </c>
      <c r="R12" s="2"/>
      <c r="S12" s="2"/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/>
      <c r="Z12" s="2"/>
      <c r="AA12" s="1">
        <v>0</v>
      </c>
      <c r="AB12" s="1">
        <v>0</v>
      </c>
      <c r="AC12" s="1">
        <v>0</v>
      </c>
      <c r="AD12" s="1">
        <v>0</v>
      </c>
      <c r="AE12" s="2"/>
      <c r="AF12" s="1"/>
    </row>
    <row r="13" spans="1:32">
      <c r="A13" s="1">
        <v>11</v>
      </c>
      <c r="B13" s="1" t="s">
        <v>13</v>
      </c>
      <c r="C13" s="1">
        <f t="shared" si="0"/>
        <v>16</v>
      </c>
      <c r="D13" s="2"/>
      <c r="E13" s="2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16</v>
      </c>
      <c r="L13" s="2"/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/>
      <c r="S13" s="2"/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/>
      <c r="Z13" s="2"/>
      <c r="AA13" s="1">
        <v>0</v>
      </c>
      <c r="AB13" s="1">
        <v>0</v>
      </c>
      <c r="AC13" s="1">
        <v>0</v>
      </c>
      <c r="AD13" s="1">
        <v>0</v>
      </c>
      <c r="AE13" s="2"/>
      <c r="AF13" s="1"/>
    </row>
    <row r="14" spans="1:32">
      <c r="A14" s="1">
        <v>12</v>
      </c>
      <c r="B14" s="1" t="s">
        <v>14</v>
      </c>
      <c r="C14" s="1">
        <f t="shared" si="0"/>
        <v>64</v>
      </c>
      <c r="D14" s="2"/>
      <c r="E14" s="2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16</v>
      </c>
      <c r="L14" s="2"/>
      <c r="M14" s="1">
        <v>0</v>
      </c>
      <c r="N14" s="1">
        <v>0</v>
      </c>
      <c r="O14" s="1">
        <v>0</v>
      </c>
      <c r="P14" s="1">
        <v>16</v>
      </c>
      <c r="Q14" s="1">
        <v>0</v>
      </c>
      <c r="R14" s="2"/>
      <c r="S14" s="2"/>
      <c r="T14" s="1">
        <v>16</v>
      </c>
      <c r="U14" s="1">
        <v>0</v>
      </c>
      <c r="V14" s="1">
        <v>0</v>
      </c>
      <c r="W14" s="1">
        <v>16</v>
      </c>
      <c r="X14" s="1">
        <v>0</v>
      </c>
      <c r="Y14" s="2"/>
      <c r="Z14" s="2"/>
      <c r="AA14" s="1">
        <v>0</v>
      </c>
      <c r="AB14" s="1">
        <v>0</v>
      </c>
      <c r="AC14" s="1">
        <v>0</v>
      </c>
      <c r="AD14" s="1">
        <v>0</v>
      </c>
      <c r="AE14" s="2"/>
      <c r="AF14" s="1"/>
    </row>
    <row r="15" spans="1:32">
      <c r="A15" s="1">
        <v>13</v>
      </c>
      <c r="B15" s="1" t="s">
        <v>16</v>
      </c>
      <c r="C15" s="1">
        <f t="shared" si="0"/>
        <v>56</v>
      </c>
      <c r="D15" s="2"/>
      <c r="E15" s="2"/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16</v>
      </c>
      <c r="L15" s="2"/>
      <c r="M15" s="1">
        <v>0</v>
      </c>
      <c r="N15" s="1">
        <v>0</v>
      </c>
      <c r="O15" s="1">
        <v>0</v>
      </c>
      <c r="P15" s="1">
        <v>0</v>
      </c>
      <c r="Q15" s="1">
        <v>8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/>
      <c r="Z15" s="2"/>
      <c r="AA15" s="1">
        <v>0</v>
      </c>
      <c r="AB15" s="1">
        <v>16</v>
      </c>
      <c r="AC15" s="1">
        <v>0</v>
      </c>
      <c r="AD15" s="1">
        <v>16</v>
      </c>
      <c r="AE15" s="2"/>
      <c r="AF15" s="1"/>
    </row>
    <row r="16" spans="1:32">
      <c r="A16" s="1">
        <v>14</v>
      </c>
      <c r="B16" s="1" t="s">
        <v>60</v>
      </c>
      <c r="C16" s="1">
        <f t="shared" si="0"/>
        <v>16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/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2"/>
      <c r="S16" s="2"/>
      <c r="T16" s="1">
        <v>0</v>
      </c>
      <c r="U16" s="1">
        <v>0</v>
      </c>
      <c r="V16" s="1">
        <v>0</v>
      </c>
      <c r="W16" s="1">
        <v>16</v>
      </c>
      <c r="X16" s="1">
        <v>0</v>
      </c>
      <c r="Y16" s="2"/>
      <c r="Z16" s="2"/>
      <c r="AA16" s="1">
        <v>0</v>
      </c>
      <c r="AB16" s="1">
        <v>0</v>
      </c>
      <c r="AC16" s="1">
        <v>0</v>
      </c>
      <c r="AD16" s="1">
        <v>0</v>
      </c>
      <c r="AE16" s="2"/>
      <c r="AF16" s="1"/>
    </row>
    <row r="17" spans="1:32">
      <c r="A17" s="1">
        <v>15</v>
      </c>
      <c r="B17" s="1" t="s">
        <v>66</v>
      </c>
      <c r="C17" s="1">
        <f t="shared" si="0"/>
        <v>16</v>
      </c>
      <c r="D17" s="2"/>
      <c r="E17" s="2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/>
      <c r="M17" s="1">
        <v>0</v>
      </c>
      <c r="N17" s="1">
        <v>0</v>
      </c>
      <c r="O17" s="1">
        <v>0</v>
      </c>
      <c r="P17" s="1">
        <v>0</v>
      </c>
      <c r="Q17" s="1">
        <v>16</v>
      </c>
      <c r="R17" s="2"/>
      <c r="S17" s="2"/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/>
      <c r="Z17" s="2"/>
      <c r="AA17" s="1">
        <v>0</v>
      </c>
      <c r="AB17" s="1">
        <v>0</v>
      </c>
      <c r="AC17" s="1">
        <v>0</v>
      </c>
      <c r="AD17" s="1">
        <v>0</v>
      </c>
      <c r="AE17" s="2"/>
      <c r="AF17" s="1"/>
    </row>
    <row r="18" spans="1:32">
      <c r="A18" s="1">
        <v>16</v>
      </c>
      <c r="B18" s="1" t="s">
        <v>87</v>
      </c>
      <c r="C18" s="1">
        <f t="shared" si="0"/>
        <v>16</v>
      </c>
      <c r="D18" s="2"/>
      <c r="E18" s="2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/>
      <c r="M18" s="1">
        <v>0</v>
      </c>
      <c r="N18" s="1">
        <v>0</v>
      </c>
      <c r="O18" s="1">
        <v>0</v>
      </c>
      <c r="P18" s="1">
        <v>0</v>
      </c>
      <c r="Q18" s="1">
        <v>16</v>
      </c>
      <c r="R18" s="2"/>
      <c r="S18" s="2"/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2"/>
      <c r="Z18" s="2"/>
      <c r="AA18" s="1">
        <v>0</v>
      </c>
      <c r="AB18" s="1">
        <v>0</v>
      </c>
      <c r="AC18" s="1">
        <v>0</v>
      </c>
      <c r="AD18" s="1">
        <v>0</v>
      </c>
      <c r="AE18" s="2"/>
      <c r="AF18" s="1"/>
    </row>
  </sheetData>
  <mergeCells count="31">
    <mergeCell ref="AF1:AF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51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F18"/>
  <sheetViews>
    <sheetView zoomScale="85" zoomScaleNormal="85" workbookViewId="0">
      <selection activeCell="F23" sqref="F23"/>
    </sheetView>
  </sheetViews>
  <sheetFormatPr baseColWidth="10" defaultColWidth="8.83203125" defaultRowHeight="15"/>
  <cols>
    <col min="3" max="3" width="15.33203125" bestFit="1" customWidth="1"/>
    <col min="4" max="17" width="8.83203125" customWidth="1"/>
    <col min="18" max="18" width="7.83203125" customWidth="1"/>
    <col min="19" max="31" width="8.83203125" customWidth="1"/>
    <col min="32" max="32" width="8.83203125" hidden="1" customWidth="1"/>
    <col min="34" max="34" width="0" hidden="1" customWidth="1"/>
  </cols>
  <sheetData>
    <row r="1" spans="1:32" ht="27">
      <c r="A1" s="73" t="s">
        <v>19</v>
      </c>
      <c r="B1" s="73"/>
      <c r="C1" s="64" t="s">
        <v>32</v>
      </c>
      <c r="D1" s="74">
        <v>45323</v>
      </c>
      <c r="E1" s="74">
        <v>45324</v>
      </c>
      <c r="F1" s="74">
        <v>45325</v>
      </c>
      <c r="G1" s="74">
        <v>45326</v>
      </c>
      <c r="H1" s="74">
        <v>45327</v>
      </c>
      <c r="I1" s="74">
        <v>45328</v>
      </c>
      <c r="J1" s="74">
        <v>45329</v>
      </c>
      <c r="K1" s="74">
        <v>45330</v>
      </c>
      <c r="L1" s="74">
        <v>45331</v>
      </c>
      <c r="M1" s="74">
        <v>45332</v>
      </c>
      <c r="N1" s="74">
        <v>45333</v>
      </c>
      <c r="O1" s="74">
        <v>45334</v>
      </c>
      <c r="P1" s="74">
        <v>45335</v>
      </c>
      <c r="Q1" s="74">
        <v>45336</v>
      </c>
      <c r="R1" s="74">
        <v>45337</v>
      </c>
      <c r="S1" s="74">
        <v>45338</v>
      </c>
      <c r="T1" s="74">
        <v>45339</v>
      </c>
      <c r="U1" s="74">
        <v>45340</v>
      </c>
      <c r="V1" s="74">
        <v>45341</v>
      </c>
      <c r="W1" s="74">
        <v>45342</v>
      </c>
      <c r="X1" s="74">
        <v>45343</v>
      </c>
      <c r="Y1" s="74">
        <v>45344</v>
      </c>
      <c r="Z1" s="74">
        <v>45345</v>
      </c>
      <c r="AA1" s="74">
        <v>45346</v>
      </c>
      <c r="AB1" s="74">
        <v>45347</v>
      </c>
      <c r="AC1" s="74">
        <v>45348</v>
      </c>
      <c r="AD1" s="74">
        <v>45349</v>
      </c>
      <c r="AE1" s="74">
        <v>45350</v>
      </c>
      <c r="AF1" s="74"/>
    </row>
    <row r="2" spans="1:32">
      <c r="A2" s="1" t="s">
        <v>1</v>
      </c>
      <c r="B2" s="1" t="s">
        <v>2</v>
      </c>
      <c r="C2" s="7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</row>
    <row r="3" spans="1:32">
      <c r="A3" s="1">
        <v>1</v>
      </c>
      <c r="B3" s="1" t="s">
        <v>3</v>
      </c>
      <c r="C3" s="1">
        <f>SUM(D3:AF3)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1">
        <v>0</v>
      </c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">
        <v>0</v>
      </c>
      <c r="AC3" s="1">
        <v>0</v>
      </c>
      <c r="AD3" s="1">
        <v>0</v>
      </c>
      <c r="AE3" s="2"/>
      <c r="AF3" s="1"/>
    </row>
    <row r="4" spans="1:32">
      <c r="A4" s="1">
        <v>2</v>
      </c>
      <c r="B4" s="1" t="s">
        <v>4</v>
      </c>
      <c r="C4" s="1">
        <f t="shared" ref="C4:C18" si="0">SUM(D4:AF4)</f>
        <v>0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1">
        <v>0</v>
      </c>
      <c r="N4" s="1">
        <v>0</v>
      </c>
      <c r="O4" s="1">
        <v>0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">
        <v>0</v>
      </c>
      <c r="AC4" s="1">
        <v>0</v>
      </c>
      <c r="AD4" s="1">
        <v>0</v>
      </c>
      <c r="AE4" s="2"/>
      <c r="AF4" s="1"/>
    </row>
    <row r="5" spans="1:32">
      <c r="A5" s="1">
        <v>3</v>
      </c>
      <c r="B5" s="1" t="s">
        <v>5</v>
      </c>
      <c r="C5" s="1">
        <f t="shared" si="0"/>
        <v>8</v>
      </c>
      <c r="D5" s="8"/>
      <c r="E5" s="8"/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1">
        <v>0</v>
      </c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>
        <v>8</v>
      </c>
      <c r="AA5" s="1">
        <v>0</v>
      </c>
      <c r="AB5" s="1">
        <v>0</v>
      </c>
      <c r="AC5" s="1">
        <v>0</v>
      </c>
      <c r="AD5" s="1">
        <v>0</v>
      </c>
      <c r="AE5" s="2"/>
      <c r="AF5" s="1"/>
    </row>
    <row r="6" spans="1:32">
      <c r="A6" s="1">
        <v>4</v>
      </c>
      <c r="B6" s="1" t="s">
        <v>6</v>
      </c>
      <c r="C6" s="1">
        <f t="shared" si="0"/>
        <v>10</v>
      </c>
      <c r="D6" s="2"/>
      <c r="E6" s="2"/>
      <c r="F6" s="1">
        <v>0</v>
      </c>
      <c r="G6" s="1">
        <v>0</v>
      </c>
      <c r="H6" s="1">
        <v>0</v>
      </c>
      <c r="I6" s="1">
        <v>0</v>
      </c>
      <c r="J6" s="1">
        <v>5</v>
      </c>
      <c r="K6" s="1">
        <v>0</v>
      </c>
      <c r="L6" s="2"/>
      <c r="M6" s="1">
        <v>0</v>
      </c>
      <c r="N6" s="1">
        <v>5</v>
      </c>
      <c r="O6" s="1">
        <v>0</v>
      </c>
      <c r="P6" s="1">
        <v>0</v>
      </c>
      <c r="Q6" s="1">
        <v>0</v>
      </c>
      <c r="R6" s="2"/>
      <c r="S6" s="2"/>
      <c r="T6" s="1">
        <v>0</v>
      </c>
      <c r="U6" s="1">
        <v>0</v>
      </c>
      <c r="V6" s="1">
        <v>0</v>
      </c>
      <c r="W6" s="1">
        <v>0</v>
      </c>
      <c r="X6" s="1">
        <v>0</v>
      </c>
      <c r="Y6" s="2"/>
      <c r="Z6" s="2"/>
      <c r="AA6" s="1">
        <v>0</v>
      </c>
      <c r="AB6" s="1">
        <v>0</v>
      </c>
      <c r="AC6" s="1">
        <v>0</v>
      </c>
      <c r="AD6" s="1">
        <v>0</v>
      </c>
      <c r="AE6" s="2"/>
      <c r="AF6" s="1"/>
    </row>
    <row r="7" spans="1:32">
      <c r="A7" s="1">
        <v>5</v>
      </c>
      <c r="B7" s="1" t="s">
        <v>7</v>
      </c>
      <c r="C7" s="1">
        <f t="shared" si="0"/>
        <v>16</v>
      </c>
      <c r="D7" s="2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1">
        <v>0</v>
      </c>
      <c r="N7" s="1">
        <v>8</v>
      </c>
      <c r="O7" s="1">
        <v>0</v>
      </c>
      <c r="P7" s="1">
        <v>8</v>
      </c>
      <c r="Q7" s="1">
        <v>0</v>
      </c>
      <c r="R7" s="2"/>
      <c r="S7" s="2"/>
      <c r="T7" s="1">
        <v>0</v>
      </c>
      <c r="U7" s="1">
        <v>0</v>
      </c>
      <c r="V7" s="1">
        <v>0</v>
      </c>
      <c r="W7" s="1">
        <v>0</v>
      </c>
      <c r="X7" s="1">
        <v>0</v>
      </c>
      <c r="Y7" s="2"/>
      <c r="Z7" s="2"/>
      <c r="AA7" s="1">
        <v>0</v>
      </c>
      <c r="AB7" s="1">
        <v>0</v>
      </c>
      <c r="AC7" s="1">
        <v>0</v>
      </c>
      <c r="AD7" s="1">
        <v>0</v>
      </c>
      <c r="AE7" s="2"/>
      <c r="AF7" s="1"/>
    </row>
    <row r="8" spans="1:32">
      <c r="A8" s="1">
        <v>6</v>
      </c>
      <c r="B8" s="1" t="s">
        <v>8</v>
      </c>
      <c r="C8" s="1">
        <f t="shared" si="0"/>
        <v>12</v>
      </c>
      <c r="D8" s="8"/>
      <c r="E8" s="8"/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2"/>
      <c r="M8" s="1">
        <v>1</v>
      </c>
      <c r="N8" s="1">
        <v>1</v>
      </c>
      <c r="O8" s="1">
        <v>0</v>
      </c>
      <c r="P8" s="1">
        <v>1</v>
      </c>
      <c r="Q8" s="1">
        <v>1</v>
      </c>
      <c r="R8" s="2"/>
      <c r="S8" s="2"/>
      <c r="T8" s="1">
        <v>1</v>
      </c>
      <c r="U8" s="1">
        <v>1</v>
      </c>
      <c r="V8" s="1">
        <v>1</v>
      </c>
      <c r="W8" s="1">
        <v>0</v>
      </c>
      <c r="X8" s="1">
        <v>0</v>
      </c>
      <c r="Y8" s="2"/>
      <c r="Z8" s="2"/>
      <c r="AA8" s="1">
        <v>1</v>
      </c>
      <c r="AB8" s="1">
        <v>0</v>
      </c>
      <c r="AC8" s="1">
        <v>1</v>
      </c>
      <c r="AD8" s="1">
        <v>1</v>
      </c>
      <c r="AE8" s="2"/>
      <c r="AF8" s="1"/>
    </row>
    <row r="9" spans="1:32">
      <c r="A9" s="1">
        <v>7</v>
      </c>
      <c r="B9" s="1" t="s">
        <v>9</v>
      </c>
      <c r="C9" s="1">
        <f t="shared" si="0"/>
        <v>0</v>
      </c>
      <c r="D9" s="8"/>
      <c r="E9" s="8"/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2"/>
      <c r="M9" s="1">
        <v>0</v>
      </c>
      <c r="N9" s="1">
        <v>0</v>
      </c>
      <c r="O9" s="1">
        <v>0</v>
      </c>
      <c r="P9" s="1">
        <v>0</v>
      </c>
      <c r="Q9" s="1">
        <v>0</v>
      </c>
      <c r="R9" s="2"/>
      <c r="S9" s="2"/>
      <c r="T9" s="1">
        <v>0</v>
      </c>
      <c r="U9" s="1">
        <v>0</v>
      </c>
      <c r="V9" s="1">
        <v>0</v>
      </c>
      <c r="W9" s="1">
        <v>0</v>
      </c>
      <c r="X9" s="1">
        <v>0</v>
      </c>
      <c r="Y9" s="2"/>
      <c r="Z9" s="2"/>
      <c r="AA9" s="1">
        <v>0</v>
      </c>
      <c r="AB9" s="1">
        <v>0</v>
      </c>
      <c r="AC9" s="1">
        <v>0</v>
      </c>
      <c r="AD9" s="1">
        <v>0</v>
      </c>
      <c r="AE9" s="2"/>
      <c r="AF9" s="1"/>
    </row>
    <row r="10" spans="1:32">
      <c r="A10" s="1">
        <v>8</v>
      </c>
      <c r="B10" s="1" t="s">
        <v>10</v>
      </c>
      <c r="C10" s="1">
        <f t="shared" si="0"/>
        <v>0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0</v>
      </c>
      <c r="AB10" s="1">
        <v>0</v>
      </c>
      <c r="AC10" s="1">
        <v>0</v>
      </c>
      <c r="AD10" s="1">
        <v>0</v>
      </c>
      <c r="AE10" s="2"/>
      <c r="AF10" s="1"/>
    </row>
    <row r="11" spans="1:32">
      <c r="A11" s="1">
        <v>9</v>
      </c>
      <c r="B11" s="1" t="s">
        <v>11</v>
      </c>
      <c r="C11" s="1">
        <f t="shared" si="0"/>
        <v>0</v>
      </c>
      <c r="D11" s="2"/>
      <c r="E11" s="2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/>
      <c r="Z11" s="2"/>
      <c r="AA11" s="1">
        <v>0</v>
      </c>
      <c r="AB11" s="1">
        <v>0</v>
      </c>
      <c r="AC11" s="1">
        <v>0</v>
      </c>
      <c r="AD11" s="1">
        <v>0</v>
      </c>
      <c r="AE11" s="2"/>
      <c r="AF11" s="1"/>
    </row>
    <row r="12" spans="1:32">
      <c r="A12" s="1">
        <v>10</v>
      </c>
      <c r="B12" s="1" t="s">
        <v>12</v>
      </c>
      <c r="C12" s="1">
        <f t="shared" si="0"/>
        <v>0</v>
      </c>
      <c r="D12" s="2"/>
      <c r="E12" s="2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/>
      <c r="S12" s="2"/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/>
      <c r="Z12" s="2"/>
      <c r="AA12" s="1">
        <v>0</v>
      </c>
      <c r="AB12" s="1">
        <v>0</v>
      </c>
      <c r="AC12" s="1">
        <v>0</v>
      </c>
      <c r="AD12" s="1">
        <v>0</v>
      </c>
      <c r="AE12" s="2"/>
      <c r="AF12" s="1"/>
    </row>
    <row r="13" spans="1:32">
      <c r="A13" s="1">
        <v>11</v>
      </c>
      <c r="B13" s="1" t="s">
        <v>13</v>
      </c>
      <c r="C13" s="1">
        <f t="shared" si="0"/>
        <v>0</v>
      </c>
      <c r="D13" s="2"/>
      <c r="E13" s="2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/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/>
      <c r="S13" s="2"/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/>
      <c r="Z13" s="2"/>
      <c r="AA13" s="1">
        <v>0</v>
      </c>
      <c r="AB13" s="1">
        <v>0</v>
      </c>
      <c r="AC13" s="1">
        <v>0</v>
      </c>
      <c r="AD13" s="1">
        <v>0</v>
      </c>
      <c r="AE13" s="2"/>
      <c r="AF13" s="1"/>
    </row>
    <row r="14" spans="1:32">
      <c r="A14" s="1">
        <v>12</v>
      </c>
      <c r="B14" s="1" t="s">
        <v>14</v>
      </c>
      <c r="C14" s="1">
        <f t="shared" si="0"/>
        <v>18</v>
      </c>
      <c r="D14" s="2"/>
      <c r="E14" s="2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/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"/>
      <c r="S14" s="2"/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/>
      <c r="Z14" s="2"/>
      <c r="AA14" s="1">
        <v>0</v>
      </c>
      <c r="AB14" s="1">
        <v>0</v>
      </c>
      <c r="AC14" s="1">
        <v>0</v>
      </c>
      <c r="AD14" s="1">
        <v>0</v>
      </c>
      <c r="AE14" s="2">
        <v>18</v>
      </c>
      <c r="AF14" s="1"/>
    </row>
    <row r="15" spans="1:32">
      <c r="A15" s="1">
        <v>13</v>
      </c>
      <c r="B15" s="1" t="s">
        <v>16</v>
      </c>
      <c r="C15" s="1">
        <f t="shared" si="0"/>
        <v>8</v>
      </c>
      <c r="D15" s="2"/>
      <c r="E15" s="2"/>
      <c r="F15" s="1">
        <v>4</v>
      </c>
      <c r="G15" s="1">
        <v>4</v>
      </c>
      <c r="H15" s="1">
        <v>0</v>
      </c>
      <c r="I15" s="1">
        <v>0</v>
      </c>
      <c r="J15" s="1">
        <v>0</v>
      </c>
      <c r="K15" s="1">
        <v>0</v>
      </c>
      <c r="L15" s="2"/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/>
      <c r="Z15" s="2"/>
      <c r="AA15" s="1">
        <v>0</v>
      </c>
      <c r="AB15" s="1">
        <v>0</v>
      </c>
      <c r="AC15" s="1">
        <v>0</v>
      </c>
      <c r="AD15" s="1">
        <v>0</v>
      </c>
      <c r="AE15" s="2"/>
      <c r="AF15" s="1"/>
    </row>
    <row r="16" spans="1:32">
      <c r="A16" s="1">
        <v>14</v>
      </c>
      <c r="B16" s="1" t="s">
        <v>60</v>
      </c>
      <c r="C16" s="1">
        <f t="shared" si="0"/>
        <v>16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/>
      <c r="M16" s="1">
        <v>0</v>
      </c>
      <c r="N16" s="1">
        <v>8</v>
      </c>
      <c r="O16" s="1">
        <v>0</v>
      </c>
      <c r="P16" s="1">
        <v>8</v>
      </c>
      <c r="Q16" s="1">
        <v>0</v>
      </c>
      <c r="R16" s="2"/>
      <c r="S16" s="2"/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/>
      <c r="Z16" s="2"/>
      <c r="AA16" s="1">
        <v>0</v>
      </c>
      <c r="AB16" s="1">
        <v>0</v>
      </c>
      <c r="AC16" s="1">
        <v>0</v>
      </c>
      <c r="AD16" s="1">
        <v>0</v>
      </c>
      <c r="AE16" s="2"/>
      <c r="AF16" s="1"/>
    </row>
    <row r="17" spans="1:32">
      <c r="A17" s="1">
        <v>15</v>
      </c>
      <c r="B17" s="1" t="s">
        <v>66</v>
      </c>
      <c r="C17" s="1">
        <f t="shared" si="0"/>
        <v>25</v>
      </c>
      <c r="D17" s="2"/>
      <c r="E17" s="2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/>
      <c r="M17" s="1">
        <v>9</v>
      </c>
      <c r="N17" s="1">
        <v>8</v>
      </c>
      <c r="O17" s="1">
        <v>0</v>
      </c>
      <c r="P17" s="1">
        <v>8</v>
      </c>
      <c r="Q17" s="1">
        <v>0</v>
      </c>
      <c r="R17" s="2"/>
      <c r="S17" s="2"/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/>
      <c r="Z17" s="2"/>
      <c r="AA17" s="1">
        <v>0</v>
      </c>
      <c r="AB17" s="1">
        <v>0</v>
      </c>
      <c r="AC17" s="1">
        <v>0</v>
      </c>
      <c r="AD17" s="1">
        <v>0</v>
      </c>
      <c r="AE17" s="2"/>
      <c r="AF17" s="1"/>
    </row>
    <row r="18" spans="1:32">
      <c r="A18" s="1">
        <v>16</v>
      </c>
      <c r="B18" s="1" t="s">
        <v>87</v>
      </c>
      <c r="C18" s="1">
        <f t="shared" si="0"/>
        <v>25</v>
      </c>
      <c r="D18" s="2"/>
      <c r="E18" s="2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/>
      <c r="M18" s="1">
        <v>9</v>
      </c>
      <c r="N18" s="1">
        <v>8</v>
      </c>
      <c r="O18" s="1">
        <v>0</v>
      </c>
      <c r="P18" s="1">
        <v>8</v>
      </c>
      <c r="Q18" s="1">
        <v>0</v>
      </c>
      <c r="R18" s="2"/>
      <c r="S18" s="2"/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2"/>
      <c r="Z18" s="2"/>
      <c r="AA18" s="1">
        <v>0</v>
      </c>
      <c r="AB18" s="1">
        <v>0</v>
      </c>
      <c r="AC18" s="1">
        <v>0</v>
      </c>
      <c r="AD18" s="1">
        <v>0</v>
      </c>
      <c r="AE18" s="2"/>
      <c r="AF18" s="1"/>
    </row>
  </sheetData>
  <mergeCells count="31">
    <mergeCell ref="AF1:AF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50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2"/>
  <sheetViews>
    <sheetView zoomScale="85" zoomScaleNormal="85" workbookViewId="0">
      <selection activeCell="AK17" sqref="AK17"/>
    </sheetView>
  </sheetViews>
  <sheetFormatPr baseColWidth="10" defaultColWidth="8.83203125" defaultRowHeight="15"/>
  <cols>
    <col min="3" max="32" width="8.83203125" hidden="1" customWidth="1"/>
  </cols>
  <sheetData>
    <row r="1" spans="1:36" ht="27">
      <c r="A1" s="70" t="s">
        <v>0</v>
      </c>
      <c r="B1" s="70"/>
      <c r="C1" s="68">
        <v>45352</v>
      </c>
      <c r="D1" s="68">
        <v>45353</v>
      </c>
      <c r="E1" s="68">
        <v>45354</v>
      </c>
      <c r="F1" s="68">
        <v>45355</v>
      </c>
      <c r="G1" s="68">
        <v>45356</v>
      </c>
      <c r="H1" s="68">
        <v>45357</v>
      </c>
      <c r="I1" s="68">
        <v>45358</v>
      </c>
      <c r="J1" s="68">
        <v>45359</v>
      </c>
      <c r="K1" s="68">
        <v>45360</v>
      </c>
      <c r="L1" s="68">
        <v>45361</v>
      </c>
      <c r="M1" s="68">
        <v>45362</v>
      </c>
      <c r="N1" s="68">
        <v>45363</v>
      </c>
      <c r="O1" s="68">
        <v>45364</v>
      </c>
      <c r="P1" s="68">
        <v>45365</v>
      </c>
      <c r="Q1" s="68">
        <v>45366</v>
      </c>
      <c r="R1" s="68">
        <v>45367</v>
      </c>
      <c r="S1" s="68">
        <v>45368</v>
      </c>
      <c r="T1" s="68">
        <v>45369</v>
      </c>
      <c r="U1" s="68">
        <v>45370</v>
      </c>
      <c r="V1" s="68">
        <v>45371</v>
      </c>
      <c r="W1" s="68">
        <v>45372</v>
      </c>
      <c r="X1" s="68">
        <v>45373</v>
      </c>
      <c r="Y1" s="68">
        <v>45374</v>
      </c>
      <c r="Z1" s="68">
        <v>45375</v>
      </c>
      <c r="AA1" s="68">
        <v>45376</v>
      </c>
      <c r="AB1" s="68">
        <v>45377</v>
      </c>
      <c r="AC1" s="68">
        <v>45378</v>
      </c>
      <c r="AD1" s="68">
        <v>45379</v>
      </c>
      <c r="AE1" s="68">
        <v>45380</v>
      </c>
      <c r="AF1" s="68">
        <v>45381</v>
      </c>
      <c r="AG1" s="68">
        <v>45382</v>
      </c>
    </row>
    <row r="2" spans="1:36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6">
      <c r="A3" s="1">
        <v>1</v>
      </c>
      <c r="B3" s="1" t="s">
        <v>3</v>
      </c>
      <c r="C3" s="2"/>
      <c r="D3" s="2"/>
      <c r="E3" s="1" t="s">
        <v>98</v>
      </c>
      <c r="F3" s="1" t="s">
        <v>98</v>
      </c>
      <c r="G3" s="1" t="s">
        <v>98</v>
      </c>
      <c r="H3" s="1" t="s">
        <v>98</v>
      </c>
      <c r="I3" s="1" t="s">
        <v>98</v>
      </c>
      <c r="J3" s="2"/>
      <c r="K3" s="2"/>
      <c r="L3" s="1" t="s">
        <v>98</v>
      </c>
      <c r="M3" s="1" t="s">
        <v>98</v>
      </c>
      <c r="N3" s="1" t="s">
        <v>98</v>
      </c>
      <c r="O3" s="1" t="s">
        <v>98</v>
      </c>
      <c r="P3" s="1" t="s">
        <v>105</v>
      </c>
      <c r="Q3" s="2"/>
      <c r="R3" s="2"/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2"/>
      <c r="Y3" s="2"/>
      <c r="Z3" s="1" t="s">
        <v>98</v>
      </c>
      <c r="AA3" s="1" t="s">
        <v>98</v>
      </c>
      <c r="AB3" s="1" t="s">
        <v>98</v>
      </c>
      <c r="AC3" s="1" t="s">
        <v>98</v>
      </c>
      <c r="AD3" s="1" t="s">
        <v>98</v>
      </c>
      <c r="AE3" s="2"/>
      <c r="AF3" s="2"/>
      <c r="AG3" s="1" t="s">
        <v>98</v>
      </c>
    </row>
    <row r="4" spans="1:36" ht="18">
      <c r="A4" s="1">
        <v>2</v>
      </c>
      <c r="B4" s="1" t="s">
        <v>4</v>
      </c>
      <c r="C4" s="2"/>
      <c r="D4" s="2"/>
      <c r="E4" s="1" t="s">
        <v>92</v>
      </c>
      <c r="F4" s="1" t="s">
        <v>92</v>
      </c>
      <c r="G4" s="1" t="s">
        <v>92</v>
      </c>
      <c r="H4" s="1" t="s">
        <v>92</v>
      </c>
      <c r="I4" s="1" t="s">
        <v>92</v>
      </c>
      <c r="J4" s="2"/>
      <c r="K4" s="2"/>
      <c r="L4" s="1" t="s">
        <v>92</v>
      </c>
      <c r="M4" s="1" t="s">
        <v>92</v>
      </c>
      <c r="N4" s="1" t="s">
        <v>92</v>
      </c>
      <c r="O4" s="1" t="s">
        <v>92</v>
      </c>
      <c r="P4" s="1" t="s">
        <v>92</v>
      </c>
      <c r="Q4" s="2"/>
      <c r="R4" s="2"/>
      <c r="S4" s="1" t="s">
        <v>92</v>
      </c>
      <c r="T4" s="1" t="s">
        <v>92</v>
      </c>
      <c r="U4" s="1" t="s">
        <v>92</v>
      </c>
      <c r="V4" s="1" t="s">
        <v>92</v>
      </c>
      <c r="W4" s="1" t="s">
        <v>92</v>
      </c>
      <c r="X4" s="2"/>
      <c r="Y4" s="2"/>
      <c r="Z4" s="1" t="s">
        <v>98</v>
      </c>
      <c r="AA4" s="1" t="s">
        <v>98</v>
      </c>
      <c r="AB4" s="16" t="s">
        <v>30</v>
      </c>
      <c r="AC4" s="1" t="s">
        <v>98</v>
      </c>
      <c r="AD4" s="16" t="s">
        <v>25</v>
      </c>
      <c r="AE4" s="2"/>
      <c r="AF4" s="2"/>
      <c r="AG4" s="16" t="s">
        <v>25</v>
      </c>
    </row>
    <row r="5" spans="1:36">
      <c r="A5" s="1">
        <v>3</v>
      </c>
      <c r="B5" s="1" t="s">
        <v>5</v>
      </c>
      <c r="C5" s="8"/>
      <c r="D5" s="8"/>
      <c r="E5" s="1" t="s">
        <v>98</v>
      </c>
      <c r="F5" s="1" t="s">
        <v>98</v>
      </c>
      <c r="G5" s="1" t="s">
        <v>98</v>
      </c>
      <c r="H5" s="1" t="s">
        <v>98</v>
      </c>
      <c r="I5" s="1" t="s">
        <v>98</v>
      </c>
      <c r="J5" s="2"/>
      <c r="K5" s="2"/>
      <c r="L5" s="1" t="s">
        <v>62</v>
      </c>
      <c r="M5" s="1" t="s">
        <v>98</v>
      </c>
      <c r="N5" s="1" t="s">
        <v>98</v>
      </c>
      <c r="O5" s="1" t="s">
        <v>98</v>
      </c>
      <c r="P5" s="1" t="s">
        <v>98</v>
      </c>
      <c r="Q5" s="2"/>
      <c r="R5" s="2"/>
      <c r="S5" s="1" t="s">
        <v>98</v>
      </c>
      <c r="T5" s="1" t="s">
        <v>98</v>
      </c>
      <c r="U5" s="1" t="s">
        <v>98</v>
      </c>
      <c r="V5" s="1" t="s">
        <v>98</v>
      </c>
      <c r="W5" s="1" t="s">
        <v>62</v>
      </c>
      <c r="X5" s="2"/>
      <c r="Y5" s="2"/>
      <c r="Z5" s="1" t="s">
        <v>98</v>
      </c>
      <c r="AA5" s="1" t="s">
        <v>98</v>
      </c>
      <c r="AB5" s="1" t="s">
        <v>98</v>
      </c>
      <c r="AC5" s="1" t="s">
        <v>98</v>
      </c>
      <c r="AD5" s="1" t="s">
        <v>98</v>
      </c>
      <c r="AE5" s="2"/>
      <c r="AF5" s="2"/>
      <c r="AG5" s="1" t="s">
        <v>98</v>
      </c>
      <c r="AJ5" t="s">
        <v>18</v>
      </c>
    </row>
    <row r="6" spans="1:36">
      <c r="A6" s="1">
        <v>4</v>
      </c>
      <c r="B6" s="1" t="s">
        <v>6</v>
      </c>
      <c r="C6" s="2"/>
      <c r="D6" s="2"/>
      <c r="E6" s="1" t="s">
        <v>101</v>
      </c>
      <c r="F6" s="1" t="s">
        <v>101</v>
      </c>
      <c r="G6" s="1" t="s">
        <v>101</v>
      </c>
      <c r="H6" s="1" t="s">
        <v>101</v>
      </c>
      <c r="I6" s="1" t="s">
        <v>101</v>
      </c>
      <c r="J6" s="2"/>
      <c r="K6" s="2"/>
      <c r="L6" s="1" t="s">
        <v>102</v>
      </c>
      <c r="M6" s="1" t="s">
        <v>101</v>
      </c>
      <c r="N6" s="1" t="s">
        <v>98</v>
      </c>
      <c r="O6" s="1" t="s">
        <v>98</v>
      </c>
      <c r="P6" s="1" t="s">
        <v>98</v>
      </c>
      <c r="Q6" s="2"/>
      <c r="R6" s="2"/>
      <c r="S6" s="1" t="s">
        <v>98</v>
      </c>
      <c r="T6" s="1" t="s">
        <v>98</v>
      </c>
      <c r="U6" s="1" t="s">
        <v>98</v>
      </c>
      <c r="V6" s="1" t="s">
        <v>98</v>
      </c>
      <c r="W6" s="1" t="s">
        <v>22</v>
      </c>
      <c r="X6" s="2"/>
      <c r="Y6" s="2"/>
      <c r="Z6" s="1" t="s">
        <v>98</v>
      </c>
      <c r="AA6" s="1" t="s">
        <v>98</v>
      </c>
      <c r="AB6" s="1" t="s">
        <v>98</v>
      </c>
      <c r="AC6" s="1" t="s">
        <v>98</v>
      </c>
      <c r="AD6" s="1" t="s">
        <v>92</v>
      </c>
      <c r="AE6" s="2"/>
      <c r="AF6" s="2"/>
      <c r="AG6" s="1" t="s">
        <v>92</v>
      </c>
    </row>
    <row r="7" spans="1:36">
      <c r="A7" s="1">
        <v>5</v>
      </c>
      <c r="B7" s="1" t="s">
        <v>7</v>
      </c>
      <c r="C7" s="2"/>
      <c r="D7" s="2"/>
      <c r="E7" s="1" t="s">
        <v>98</v>
      </c>
      <c r="F7" s="1" t="s">
        <v>98</v>
      </c>
      <c r="G7" s="1" t="s">
        <v>98</v>
      </c>
      <c r="H7" s="1" t="s">
        <v>98</v>
      </c>
      <c r="I7" s="1" t="s">
        <v>98</v>
      </c>
      <c r="J7" s="2"/>
      <c r="K7" s="2"/>
      <c r="L7" s="1" t="s">
        <v>98</v>
      </c>
      <c r="M7" s="1" t="s">
        <v>98</v>
      </c>
      <c r="N7" s="1" t="s">
        <v>98</v>
      </c>
      <c r="O7" s="1" t="s">
        <v>98</v>
      </c>
      <c r="P7" s="1" t="s">
        <v>98</v>
      </c>
      <c r="Q7" s="2"/>
      <c r="R7" s="2"/>
      <c r="S7" s="1" t="s">
        <v>98</v>
      </c>
      <c r="T7" s="1" t="s">
        <v>98</v>
      </c>
      <c r="U7" s="1" t="s">
        <v>98</v>
      </c>
      <c r="V7" s="1" t="s">
        <v>98</v>
      </c>
      <c r="W7" s="1" t="s">
        <v>98</v>
      </c>
      <c r="X7" s="2"/>
      <c r="Y7" s="2"/>
      <c r="Z7" s="1" t="s">
        <v>98</v>
      </c>
      <c r="AA7" s="1" t="s">
        <v>98</v>
      </c>
      <c r="AB7" s="1" t="s">
        <v>98</v>
      </c>
      <c r="AC7" s="1" t="s">
        <v>98</v>
      </c>
      <c r="AD7" s="1" t="s">
        <v>98</v>
      </c>
      <c r="AE7" s="2"/>
      <c r="AF7" s="2"/>
      <c r="AG7" s="1" t="s">
        <v>98</v>
      </c>
    </row>
    <row r="8" spans="1:36">
      <c r="A8" s="1">
        <v>6</v>
      </c>
      <c r="B8" s="1" t="s">
        <v>8</v>
      </c>
      <c r="C8" s="8"/>
      <c r="D8" s="8"/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2"/>
      <c r="K8" s="2"/>
      <c r="L8" s="1" t="s">
        <v>25</v>
      </c>
      <c r="M8" s="1" t="s">
        <v>25</v>
      </c>
      <c r="N8" s="1" t="s">
        <v>98</v>
      </c>
      <c r="O8" s="1" t="s">
        <v>98</v>
      </c>
      <c r="P8" s="1" t="s">
        <v>25</v>
      </c>
      <c r="Q8" s="2"/>
      <c r="R8" s="2"/>
      <c r="S8" s="1" t="s">
        <v>98</v>
      </c>
      <c r="T8" s="1" t="s">
        <v>25</v>
      </c>
      <c r="U8" s="1" t="s">
        <v>25</v>
      </c>
      <c r="V8" s="1" t="s">
        <v>25</v>
      </c>
      <c r="W8" s="1" t="s">
        <v>25</v>
      </c>
      <c r="X8" s="2"/>
      <c r="Y8" s="2"/>
      <c r="Z8" s="1" t="s">
        <v>25</v>
      </c>
      <c r="AA8" s="1" t="s">
        <v>25</v>
      </c>
      <c r="AB8" s="1" t="s">
        <v>25</v>
      </c>
      <c r="AC8" s="1" t="s">
        <v>22</v>
      </c>
      <c r="AD8" s="1" t="s">
        <v>98</v>
      </c>
      <c r="AE8" s="2"/>
      <c r="AF8" s="2"/>
      <c r="AG8" s="1" t="s">
        <v>98</v>
      </c>
    </row>
    <row r="9" spans="1:36">
      <c r="A9" s="1">
        <v>7</v>
      </c>
      <c r="B9" s="1" t="s">
        <v>9</v>
      </c>
      <c r="C9" s="8"/>
      <c r="D9" s="8"/>
      <c r="E9" s="1" t="s">
        <v>101</v>
      </c>
      <c r="F9" s="1" t="s">
        <v>101</v>
      </c>
      <c r="G9" s="1" t="s">
        <v>101</v>
      </c>
      <c r="H9" s="1" t="s">
        <v>101</v>
      </c>
      <c r="I9" s="1" t="s">
        <v>101</v>
      </c>
      <c r="J9" s="2"/>
      <c r="K9" s="2"/>
      <c r="L9" s="1" t="s">
        <v>103</v>
      </c>
      <c r="M9" s="1" t="s">
        <v>101</v>
      </c>
      <c r="N9" s="1" t="s">
        <v>98</v>
      </c>
      <c r="O9" s="1" t="s">
        <v>98</v>
      </c>
      <c r="P9" s="1" t="s">
        <v>22</v>
      </c>
      <c r="Q9" s="2"/>
      <c r="R9" s="2"/>
      <c r="S9" s="1" t="s">
        <v>98</v>
      </c>
      <c r="T9" s="1" t="s">
        <v>92</v>
      </c>
      <c r="U9" s="1" t="s">
        <v>92</v>
      </c>
      <c r="V9" s="1" t="s">
        <v>92</v>
      </c>
      <c r="W9" s="1" t="s">
        <v>92</v>
      </c>
      <c r="X9" s="2"/>
      <c r="Y9" s="2"/>
      <c r="Z9" s="1" t="s">
        <v>92</v>
      </c>
      <c r="AA9" s="1" t="s">
        <v>92</v>
      </c>
      <c r="AB9" s="1" t="s">
        <v>92</v>
      </c>
      <c r="AC9" s="1" t="s">
        <v>92</v>
      </c>
      <c r="AD9" s="1" t="s">
        <v>92</v>
      </c>
      <c r="AE9" s="2"/>
      <c r="AF9" s="2"/>
      <c r="AG9" s="1" t="s">
        <v>92</v>
      </c>
    </row>
    <row r="10" spans="1:36">
      <c r="A10" s="1">
        <v>8</v>
      </c>
      <c r="B10" s="1" t="s">
        <v>10</v>
      </c>
      <c r="C10" s="2"/>
      <c r="D10" s="2"/>
      <c r="E10" s="1" t="s">
        <v>98</v>
      </c>
      <c r="F10" s="1" t="s">
        <v>62</v>
      </c>
      <c r="G10" s="1" t="s">
        <v>62</v>
      </c>
      <c r="H10" s="1" t="s">
        <v>62</v>
      </c>
      <c r="I10" s="1" t="s">
        <v>62</v>
      </c>
      <c r="J10" s="2"/>
      <c r="K10" s="2"/>
      <c r="L10" s="1" t="s">
        <v>62</v>
      </c>
      <c r="M10" s="1" t="s">
        <v>98</v>
      </c>
      <c r="N10" s="1" t="s">
        <v>98</v>
      </c>
      <c r="O10" s="1" t="s">
        <v>98</v>
      </c>
      <c r="P10" s="18" t="s">
        <v>62</v>
      </c>
      <c r="Q10" s="2"/>
      <c r="R10" s="2"/>
      <c r="S10" s="1" t="s">
        <v>98</v>
      </c>
      <c r="T10" s="1" t="s">
        <v>98</v>
      </c>
      <c r="U10" s="1" t="s">
        <v>98</v>
      </c>
      <c r="V10" s="1" t="s">
        <v>98</v>
      </c>
      <c r="W10" s="1" t="s">
        <v>98</v>
      </c>
      <c r="X10" s="2"/>
      <c r="Y10" s="2"/>
      <c r="Z10" s="1" t="s">
        <v>98</v>
      </c>
      <c r="AA10" s="1" t="s">
        <v>98</v>
      </c>
      <c r="AB10" s="1" t="s">
        <v>98</v>
      </c>
      <c r="AC10" s="1" t="s">
        <v>98</v>
      </c>
      <c r="AD10" s="1" t="s">
        <v>98</v>
      </c>
      <c r="AE10" s="2"/>
      <c r="AF10" s="2"/>
      <c r="AG10" s="1" t="s">
        <v>62</v>
      </c>
    </row>
    <row r="11" spans="1:36">
      <c r="A11" s="1">
        <v>9</v>
      </c>
      <c r="B11" s="1" t="s">
        <v>11</v>
      </c>
      <c r="C11" s="2"/>
      <c r="D11" s="2"/>
      <c r="E11" s="1" t="s">
        <v>98</v>
      </c>
      <c r="F11" s="1" t="s">
        <v>98</v>
      </c>
      <c r="G11" s="1" t="s">
        <v>98</v>
      </c>
      <c r="H11" s="1" t="s">
        <v>98</v>
      </c>
      <c r="I11" s="1" t="s">
        <v>98</v>
      </c>
      <c r="J11" s="2"/>
      <c r="K11" s="2"/>
      <c r="L11" s="1" t="s">
        <v>98</v>
      </c>
      <c r="M11" s="1" t="s">
        <v>98</v>
      </c>
      <c r="N11" s="1" t="s">
        <v>98</v>
      </c>
      <c r="O11" s="1" t="s">
        <v>98</v>
      </c>
      <c r="P11" s="1" t="s">
        <v>98</v>
      </c>
      <c r="Q11" s="2"/>
      <c r="R11" s="2"/>
      <c r="S11" s="1" t="s">
        <v>98</v>
      </c>
      <c r="T11" s="1" t="s">
        <v>98</v>
      </c>
      <c r="U11" s="1" t="s">
        <v>98</v>
      </c>
      <c r="V11" s="1" t="s">
        <v>98</v>
      </c>
      <c r="W11" s="1" t="s">
        <v>98</v>
      </c>
      <c r="X11" s="2"/>
      <c r="Y11" s="2"/>
      <c r="Z11" s="1" t="s">
        <v>98</v>
      </c>
      <c r="AA11" s="4" t="s">
        <v>22</v>
      </c>
      <c r="AB11" s="1" t="s">
        <v>98</v>
      </c>
      <c r="AC11" s="1" t="s">
        <v>98</v>
      </c>
      <c r="AD11" s="1" t="s">
        <v>98</v>
      </c>
      <c r="AE11" s="2"/>
      <c r="AF11" s="2"/>
      <c r="AG11" s="1" t="s">
        <v>98</v>
      </c>
    </row>
    <row r="12" spans="1:36">
      <c r="A12" s="1">
        <v>10</v>
      </c>
      <c r="B12" s="1" t="s">
        <v>12</v>
      </c>
      <c r="C12" s="2"/>
      <c r="D12" s="2"/>
      <c r="E12" s="1" t="s">
        <v>92</v>
      </c>
      <c r="F12" s="1" t="s">
        <v>92</v>
      </c>
      <c r="G12" s="1" t="s">
        <v>92</v>
      </c>
      <c r="H12" s="1" t="s">
        <v>92</v>
      </c>
      <c r="I12" s="1" t="s">
        <v>92</v>
      </c>
      <c r="J12" s="2"/>
      <c r="K12" s="2"/>
      <c r="L12" s="1" t="s">
        <v>92</v>
      </c>
      <c r="M12" s="1" t="s">
        <v>92</v>
      </c>
      <c r="N12" s="1" t="s">
        <v>101</v>
      </c>
      <c r="O12" s="1" t="s">
        <v>101</v>
      </c>
      <c r="P12" s="1" t="s">
        <v>101</v>
      </c>
      <c r="Q12" s="2"/>
      <c r="R12" s="2"/>
      <c r="S12" s="1" t="s">
        <v>98</v>
      </c>
      <c r="T12" s="1" t="s">
        <v>98</v>
      </c>
      <c r="U12" s="1" t="s">
        <v>98</v>
      </c>
      <c r="V12" s="1" t="s">
        <v>98</v>
      </c>
      <c r="W12" s="1" t="s">
        <v>22</v>
      </c>
      <c r="X12" s="2"/>
      <c r="Y12" s="2"/>
      <c r="Z12" s="1" t="s">
        <v>98</v>
      </c>
      <c r="AA12" s="1" t="s">
        <v>98</v>
      </c>
      <c r="AB12" s="1" t="s">
        <v>98</v>
      </c>
      <c r="AC12" s="1" t="s">
        <v>98</v>
      </c>
      <c r="AD12" s="1" t="s">
        <v>98</v>
      </c>
      <c r="AE12" s="2"/>
      <c r="AF12" s="2"/>
      <c r="AG12" s="1" t="s">
        <v>98</v>
      </c>
    </row>
    <row r="13" spans="1:36">
      <c r="A13" s="1">
        <v>11</v>
      </c>
      <c r="B13" s="1" t="s">
        <v>13</v>
      </c>
      <c r="C13" s="2"/>
      <c r="D13" s="2"/>
      <c r="E13" s="1" t="s">
        <v>92</v>
      </c>
      <c r="F13" s="1" t="s">
        <v>92</v>
      </c>
      <c r="G13" s="1" t="s">
        <v>92</v>
      </c>
      <c r="H13" s="1" t="s">
        <v>92</v>
      </c>
      <c r="I13" s="1" t="s">
        <v>92</v>
      </c>
      <c r="J13" s="2"/>
      <c r="K13" s="2"/>
      <c r="L13" s="1" t="s">
        <v>92</v>
      </c>
      <c r="M13" s="1" t="s">
        <v>92</v>
      </c>
      <c r="N13" s="1" t="s">
        <v>92</v>
      </c>
      <c r="O13" s="1" t="s">
        <v>92</v>
      </c>
      <c r="P13" s="1" t="s">
        <v>92</v>
      </c>
      <c r="Q13" s="2"/>
      <c r="R13" s="2"/>
      <c r="S13" s="1" t="s">
        <v>30</v>
      </c>
      <c r="T13" s="1" t="s">
        <v>98</v>
      </c>
      <c r="U13" s="1" t="s">
        <v>98</v>
      </c>
      <c r="V13" s="1" t="s">
        <v>98</v>
      </c>
      <c r="W13" s="1" t="s">
        <v>92</v>
      </c>
      <c r="X13" s="2"/>
      <c r="Y13" s="2"/>
      <c r="Z13" s="1" t="s">
        <v>92</v>
      </c>
      <c r="AA13" s="1" t="s">
        <v>92</v>
      </c>
      <c r="AB13" s="1" t="s">
        <v>92</v>
      </c>
      <c r="AC13" s="1" t="s">
        <v>92</v>
      </c>
      <c r="AD13" s="1" t="s">
        <v>92</v>
      </c>
      <c r="AE13" s="2"/>
      <c r="AF13" s="2"/>
      <c r="AG13" s="1" t="s">
        <v>92</v>
      </c>
    </row>
    <row r="14" spans="1:36">
      <c r="A14" s="1">
        <v>12</v>
      </c>
      <c r="B14" s="1" t="s">
        <v>14</v>
      </c>
      <c r="C14" s="2"/>
      <c r="D14" s="2"/>
      <c r="E14" s="1" t="s">
        <v>92</v>
      </c>
      <c r="F14" s="1" t="s">
        <v>92</v>
      </c>
      <c r="G14" s="1" t="s">
        <v>92</v>
      </c>
      <c r="H14" s="1" t="s">
        <v>92</v>
      </c>
      <c r="I14" s="1" t="s">
        <v>92</v>
      </c>
      <c r="J14" s="2"/>
      <c r="K14" s="2"/>
      <c r="L14" s="1" t="s">
        <v>92</v>
      </c>
      <c r="M14" s="1" t="s">
        <v>92</v>
      </c>
      <c r="N14" s="1" t="s">
        <v>92</v>
      </c>
      <c r="O14" s="1" t="s">
        <v>92</v>
      </c>
      <c r="P14" s="1" t="s">
        <v>92</v>
      </c>
      <c r="Q14" s="2"/>
      <c r="R14" s="2"/>
      <c r="S14" s="1" t="s">
        <v>92</v>
      </c>
      <c r="T14" s="1" t="s">
        <v>92</v>
      </c>
      <c r="U14" s="1" t="s">
        <v>92</v>
      </c>
      <c r="V14" s="1" t="s">
        <v>92</v>
      </c>
      <c r="W14" s="1" t="s">
        <v>92</v>
      </c>
      <c r="X14" s="2"/>
      <c r="Y14" s="2"/>
      <c r="Z14" s="1" t="s">
        <v>98</v>
      </c>
      <c r="AA14" s="1" t="s">
        <v>98</v>
      </c>
      <c r="AB14" s="1" t="s">
        <v>98</v>
      </c>
      <c r="AC14" s="1" t="s">
        <v>98</v>
      </c>
      <c r="AD14" s="1" t="s">
        <v>22</v>
      </c>
      <c r="AE14" s="2"/>
      <c r="AF14" s="2"/>
      <c r="AG14" s="1" t="s">
        <v>107</v>
      </c>
    </row>
    <row r="15" spans="1:36">
      <c r="A15" s="1">
        <v>13</v>
      </c>
      <c r="B15" s="1" t="s">
        <v>16</v>
      </c>
      <c r="C15" s="2"/>
      <c r="D15" s="2"/>
      <c r="E15" s="1" t="s">
        <v>98</v>
      </c>
      <c r="F15" s="1" t="s">
        <v>98</v>
      </c>
      <c r="G15" s="1" t="s">
        <v>98</v>
      </c>
      <c r="H15" s="1" t="s">
        <v>98</v>
      </c>
      <c r="I15" s="1" t="s">
        <v>98</v>
      </c>
      <c r="J15" s="2"/>
      <c r="K15" s="2"/>
      <c r="L15" s="1" t="s">
        <v>98</v>
      </c>
      <c r="M15" s="1" t="s">
        <v>98</v>
      </c>
      <c r="N15" s="1" t="s">
        <v>98</v>
      </c>
      <c r="O15" s="1" t="s">
        <v>98</v>
      </c>
      <c r="P15" s="1" t="s">
        <v>105</v>
      </c>
      <c r="Q15" s="2"/>
      <c r="R15" s="2"/>
      <c r="S15" s="1" t="s">
        <v>98</v>
      </c>
      <c r="T15" s="1" t="s">
        <v>98</v>
      </c>
      <c r="U15" s="1" t="s">
        <v>98</v>
      </c>
      <c r="V15" s="1" t="s">
        <v>98</v>
      </c>
      <c r="W15" s="1" t="s">
        <v>98</v>
      </c>
      <c r="X15" s="2"/>
      <c r="Y15" s="2"/>
      <c r="Z15" s="1" t="s">
        <v>98</v>
      </c>
      <c r="AA15" s="1" t="s">
        <v>98</v>
      </c>
      <c r="AB15" s="1" t="s">
        <v>98</v>
      </c>
      <c r="AC15" s="1" t="s">
        <v>98</v>
      </c>
      <c r="AD15" s="1" t="s">
        <v>98</v>
      </c>
      <c r="AE15" s="2"/>
      <c r="AF15" s="2"/>
      <c r="AG15" s="1" t="s">
        <v>107</v>
      </c>
    </row>
    <row r="16" spans="1:36">
      <c r="A16" s="1">
        <v>14</v>
      </c>
      <c r="B16" s="1" t="s">
        <v>60</v>
      </c>
      <c r="C16" s="2"/>
      <c r="D16" s="2"/>
      <c r="E16" s="1" t="s">
        <v>98</v>
      </c>
      <c r="F16" s="1" t="s">
        <v>98</v>
      </c>
      <c r="G16" s="1" t="s">
        <v>98</v>
      </c>
      <c r="H16" s="1" t="s">
        <v>98</v>
      </c>
      <c r="I16" s="1" t="s">
        <v>98</v>
      </c>
      <c r="J16" s="2"/>
      <c r="K16" s="2"/>
      <c r="L16" s="1" t="s">
        <v>98</v>
      </c>
      <c r="M16" s="1" t="s">
        <v>98</v>
      </c>
      <c r="N16" s="1" t="s">
        <v>98</v>
      </c>
      <c r="O16" s="1" t="s">
        <v>98</v>
      </c>
      <c r="P16" s="1" t="s">
        <v>98</v>
      </c>
      <c r="Q16" s="2"/>
      <c r="R16" s="2"/>
      <c r="S16" s="1" t="s">
        <v>98</v>
      </c>
      <c r="T16" s="1" t="s">
        <v>98</v>
      </c>
      <c r="U16" s="1" t="s">
        <v>98</v>
      </c>
      <c r="V16" s="1" t="s">
        <v>98</v>
      </c>
      <c r="W16" s="1" t="s">
        <v>98</v>
      </c>
      <c r="X16" s="2"/>
      <c r="Y16" s="2"/>
      <c r="Z16" s="1" t="s">
        <v>98</v>
      </c>
      <c r="AA16" s="1" t="s">
        <v>98</v>
      </c>
      <c r="AB16" s="1" t="s">
        <v>98</v>
      </c>
      <c r="AC16" s="1" t="s">
        <v>98</v>
      </c>
      <c r="AD16" s="1" t="s">
        <v>98</v>
      </c>
      <c r="AE16" s="2"/>
      <c r="AF16" s="2"/>
      <c r="AG16" s="1" t="s">
        <v>98</v>
      </c>
    </row>
    <row r="17" spans="1:33">
      <c r="A17" s="1">
        <v>15</v>
      </c>
      <c r="B17" s="1" t="s">
        <v>66</v>
      </c>
      <c r="C17" s="2"/>
      <c r="D17" s="2"/>
      <c r="E17" s="1" t="s">
        <v>98</v>
      </c>
      <c r="F17" s="1" t="s">
        <v>98</v>
      </c>
      <c r="G17" s="1" t="s">
        <v>98</v>
      </c>
      <c r="H17" s="1" t="s">
        <v>98</v>
      </c>
      <c r="I17" s="1" t="s">
        <v>98</v>
      </c>
      <c r="J17" s="2"/>
      <c r="K17" s="2"/>
      <c r="L17" s="1" t="s">
        <v>98</v>
      </c>
      <c r="M17" s="1" t="s">
        <v>98</v>
      </c>
      <c r="N17" s="1" t="s">
        <v>98</v>
      </c>
      <c r="O17" s="1" t="s">
        <v>98</v>
      </c>
      <c r="P17" s="1" t="s">
        <v>98</v>
      </c>
      <c r="Q17" s="2"/>
      <c r="R17" s="2"/>
      <c r="S17" s="1" t="s">
        <v>98</v>
      </c>
      <c r="T17" s="1" t="s">
        <v>98</v>
      </c>
      <c r="U17" s="1" t="s">
        <v>98</v>
      </c>
      <c r="V17" s="1" t="s">
        <v>98</v>
      </c>
      <c r="W17" s="1" t="s">
        <v>98</v>
      </c>
      <c r="X17" s="2"/>
      <c r="Y17" s="2"/>
      <c r="Z17" s="1" t="s">
        <v>98</v>
      </c>
      <c r="AA17" s="1" t="s">
        <v>98</v>
      </c>
      <c r="AB17" s="1" t="s">
        <v>98</v>
      </c>
      <c r="AC17" s="1" t="s">
        <v>98</v>
      </c>
      <c r="AD17" s="1" t="s">
        <v>98</v>
      </c>
      <c r="AE17" s="2"/>
      <c r="AF17" s="2"/>
      <c r="AG17" s="1" t="s">
        <v>98</v>
      </c>
    </row>
    <row r="18" spans="1:33">
      <c r="A18" s="1">
        <v>16</v>
      </c>
      <c r="B18" s="1" t="s">
        <v>87</v>
      </c>
      <c r="C18" s="2"/>
      <c r="D18" s="2"/>
      <c r="E18" s="1" t="s">
        <v>98</v>
      </c>
      <c r="F18" s="1" t="s">
        <v>98</v>
      </c>
      <c r="G18" s="1" t="s">
        <v>98</v>
      </c>
      <c r="H18" s="1" t="s">
        <v>98</v>
      </c>
      <c r="I18" s="1" t="s">
        <v>98</v>
      </c>
      <c r="J18" s="2"/>
      <c r="K18" s="2"/>
      <c r="L18" s="1" t="s">
        <v>98</v>
      </c>
      <c r="M18" s="1" t="s">
        <v>98</v>
      </c>
      <c r="N18" s="1" t="s">
        <v>98</v>
      </c>
      <c r="O18" s="1" t="s">
        <v>98</v>
      </c>
      <c r="P18" s="1" t="s">
        <v>98</v>
      </c>
      <c r="Q18" s="2"/>
      <c r="R18" s="2"/>
      <c r="S18" s="1" t="s">
        <v>98</v>
      </c>
      <c r="T18" s="1" t="s">
        <v>98</v>
      </c>
      <c r="U18" s="1" t="s">
        <v>98</v>
      </c>
      <c r="V18" s="1" t="s">
        <v>98</v>
      </c>
      <c r="W18" s="1" t="s">
        <v>98</v>
      </c>
      <c r="X18" s="2"/>
      <c r="Y18" s="2"/>
      <c r="Z18" s="1" t="s">
        <v>98</v>
      </c>
      <c r="AA18" s="1" t="s">
        <v>98</v>
      </c>
      <c r="AB18" s="1" t="s">
        <v>98</v>
      </c>
      <c r="AC18" s="1" t="s">
        <v>98</v>
      </c>
      <c r="AD18" s="1" t="s">
        <v>98</v>
      </c>
      <c r="AE18" s="2"/>
      <c r="AF18" s="2"/>
      <c r="AG18" s="1" t="s">
        <v>98</v>
      </c>
    </row>
    <row r="19" spans="1:33">
      <c r="A19" s="1">
        <v>17</v>
      </c>
      <c r="B19" s="1" t="s">
        <v>104</v>
      </c>
      <c r="C19" s="2"/>
      <c r="D19" s="2"/>
      <c r="E19" s="1"/>
      <c r="F19" s="1"/>
      <c r="G19" s="1"/>
      <c r="H19" s="1"/>
      <c r="I19" s="1"/>
      <c r="J19" s="2"/>
      <c r="K19" s="2"/>
      <c r="L19" s="1" t="s">
        <v>98</v>
      </c>
      <c r="M19" s="1" t="s">
        <v>98</v>
      </c>
      <c r="N19" s="1" t="s">
        <v>98</v>
      </c>
      <c r="O19" s="1" t="s">
        <v>98</v>
      </c>
      <c r="P19" s="1" t="s">
        <v>98</v>
      </c>
      <c r="Q19" s="2"/>
      <c r="R19" s="2"/>
      <c r="S19" s="1" t="s">
        <v>98</v>
      </c>
      <c r="T19" s="1" t="s">
        <v>98</v>
      </c>
      <c r="U19" s="1" t="s">
        <v>98</v>
      </c>
      <c r="V19" s="1" t="s">
        <v>98</v>
      </c>
      <c r="W19" s="1" t="s">
        <v>98</v>
      </c>
      <c r="X19" s="2"/>
      <c r="Y19" s="2"/>
      <c r="Z19" s="1" t="s">
        <v>98</v>
      </c>
      <c r="AA19" s="1" t="s">
        <v>98</v>
      </c>
      <c r="AB19" s="1" t="s">
        <v>98</v>
      </c>
      <c r="AC19" s="1" t="s">
        <v>98</v>
      </c>
      <c r="AD19" s="1" t="s">
        <v>98</v>
      </c>
      <c r="AE19" s="2"/>
      <c r="AF19" s="2"/>
      <c r="AG19" s="1" t="s">
        <v>98</v>
      </c>
    </row>
    <row r="20" spans="1:33">
      <c r="A20" s="5" t="s">
        <v>25</v>
      </c>
      <c r="B20" t="s">
        <v>23</v>
      </c>
    </row>
    <row r="21" spans="1:33">
      <c r="A21" s="4" t="s">
        <v>22</v>
      </c>
      <c r="B21" t="s">
        <v>24</v>
      </c>
    </row>
    <row r="22" spans="1:33">
      <c r="A22" s="7" t="s">
        <v>30</v>
      </c>
      <c r="B22" s="6" t="s">
        <v>29</v>
      </c>
    </row>
  </sheetData>
  <mergeCells count="32">
    <mergeCell ref="G1:G2"/>
    <mergeCell ref="A1:B1"/>
    <mergeCell ref="C1:C2"/>
    <mergeCell ref="D1:D2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G1:AG2"/>
    <mergeCell ref="AE1:AE2"/>
    <mergeCell ref="AF1:AF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honeticPr fontId="1" type="noConversion"/>
  <conditionalFormatting sqref="B15:B19">
    <cfRule type="duplicateValues" dxfId="49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19"/>
  <sheetViews>
    <sheetView workbookViewId="0">
      <selection activeCell="M7" sqref="M7"/>
    </sheetView>
  </sheetViews>
  <sheetFormatPr baseColWidth="10" defaultColWidth="8.83203125" defaultRowHeight="15"/>
  <cols>
    <col min="3" max="3" width="15.33203125" bestFit="1" customWidth="1"/>
    <col min="4" max="8" width="8.83203125" customWidth="1"/>
    <col min="9" max="9" width="9.1640625" customWidth="1"/>
    <col min="10" max="34" width="8.83203125" customWidth="1"/>
  </cols>
  <sheetData>
    <row r="1" spans="1:34" ht="27">
      <c r="A1" s="71" t="s">
        <v>17</v>
      </c>
      <c r="B1" s="71"/>
      <c r="C1" s="64" t="s">
        <v>34</v>
      </c>
      <c r="D1" s="74">
        <v>45352</v>
      </c>
      <c r="E1" s="74">
        <v>45353</v>
      </c>
      <c r="F1" s="74">
        <v>45354</v>
      </c>
      <c r="G1" s="74">
        <v>45355</v>
      </c>
      <c r="H1" s="74">
        <v>45356</v>
      </c>
      <c r="I1" s="74">
        <v>45357</v>
      </c>
      <c r="J1" s="74">
        <v>45358</v>
      </c>
      <c r="K1" s="74">
        <v>45359</v>
      </c>
      <c r="L1" s="74">
        <v>45360</v>
      </c>
      <c r="M1" s="74">
        <v>45361</v>
      </c>
      <c r="N1" s="74">
        <v>45362</v>
      </c>
      <c r="O1" s="74">
        <v>45363</v>
      </c>
      <c r="P1" s="74">
        <v>45364</v>
      </c>
      <c r="Q1" s="74">
        <v>45365</v>
      </c>
      <c r="R1" s="74">
        <v>45366</v>
      </c>
      <c r="S1" s="74">
        <v>45367</v>
      </c>
      <c r="T1" s="74">
        <v>45368</v>
      </c>
      <c r="U1" s="74">
        <v>45369</v>
      </c>
      <c r="V1" s="74">
        <v>45370</v>
      </c>
      <c r="W1" s="74">
        <v>45371</v>
      </c>
      <c r="X1" s="74">
        <v>45372</v>
      </c>
      <c r="Y1" s="74">
        <v>45373</v>
      </c>
      <c r="Z1" s="74">
        <v>45374</v>
      </c>
      <c r="AA1" s="74">
        <v>45375</v>
      </c>
      <c r="AB1" s="74">
        <v>45376</v>
      </c>
      <c r="AC1" s="74">
        <v>45377</v>
      </c>
      <c r="AD1" s="74">
        <v>45378</v>
      </c>
      <c r="AE1" s="74">
        <v>45379</v>
      </c>
      <c r="AF1" s="74">
        <v>45380</v>
      </c>
      <c r="AG1" s="74">
        <v>45381</v>
      </c>
      <c r="AH1" s="74">
        <v>45382</v>
      </c>
    </row>
    <row r="2" spans="1:34">
      <c r="A2" s="1" t="s">
        <v>1</v>
      </c>
      <c r="B2" s="1" t="s">
        <v>2</v>
      </c>
      <c r="C2" s="7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pans="1:34">
      <c r="A3" s="1">
        <v>1</v>
      </c>
      <c r="B3" s="1" t="s">
        <v>3</v>
      </c>
      <c r="C3" s="1">
        <f t="shared" ref="C3:C19" si="0">SUM(D3:AH3)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2"/>
      <c r="L3" s="2"/>
      <c r="M3" s="1">
        <v>0</v>
      </c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2"/>
      <c r="AG3" s="2"/>
      <c r="AH3" s="1">
        <v>0</v>
      </c>
    </row>
    <row r="4" spans="1:34">
      <c r="A4" s="1">
        <v>2</v>
      </c>
      <c r="B4" s="1" t="s">
        <v>4</v>
      </c>
      <c r="C4" s="1">
        <f t="shared" si="0"/>
        <v>1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2"/>
      <c r="L4" s="2"/>
      <c r="M4" s="1">
        <v>0</v>
      </c>
      <c r="N4" s="1">
        <v>0</v>
      </c>
      <c r="O4" s="1">
        <v>0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2"/>
      <c r="AG4" s="2"/>
      <c r="AH4" s="1">
        <v>0</v>
      </c>
    </row>
    <row r="5" spans="1:34">
      <c r="A5" s="1">
        <v>3</v>
      </c>
      <c r="B5" s="1" t="s">
        <v>5</v>
      </c>
      <c r="C5" s="1">
        <f t="shared" si="0"/>
        <v>0</v>
      </c>
      <c r="D5" s="8"/>
      <c r="E5" s="8"/>
      <c r="F5" s="1">
        <v>0</v>
      </c>
      <c r="G5" s="1">
        <v>0</v>
      </c>
      <c r="H5" s="1">
        <v>0</v>
      </c>
      <c r="I5" s="1">
        <v>0</v>
      </c>
      <c r="J5" s="1">
        <v>0</v>
      </c>
      <c r="K5" s="2"/>
      <c r="L5" s="2"/>
      <c r="M5" s="1">
        <v>0</v>
      </c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2"/>
      <c r="AG5" s="2"/>
      <c r="AH5" s="1">
        <v>0</v>
      </c>
    </row>
    <row r="6" spans="1:34">
      <c r="A6" s="1">
        <v>4</v>
      </c>
      <c r="B6" s="1" t="s">
        <v>6</v>
      </c>
      <c r="C6" s="1">
        <f t="shared" si="0"/>
        <v>40</v>
      </c>
      <c r="D6" s="2"/>
      <c r="E6" s="2"/>
      <c r="F6" s="1">
        <v>0</v>
      </c>
      <c r="G6" s="1">
        <v>0</v>
      </c>
      <c r="H6" s="1">
        <v>0</v>
      </c>
      <c r="I6" s="1">
        <v>0</v>
      </c>
      <c r="J6" s="1">
        <v>0</v>
      </c>
      <c r="K6" s="2"/>
      <c r="L6" s="2"/>
      <c r="M6" s="1">
        <v>0</v>
      </c>
      <c r="N6" s="1">
        <v>0</v>
      </c>
      <c r="O6" s="1">
        <v>0</v>
      </c>
      <c r="P6" s="1">
        <v>0</v>
      </c>
      <c r="Q6" s="1">
        <v>0</v>
      </c>
      <c r="R6" s="2"/>
      <c r="S6" s="2"/>
      <c r="T6" s="1">
        <v>0</v>
      </c>
      <c r="U6" s="1">
        <v>0</v>
      </c>
      <c r="V6" s="1">
        <v>0</v>
      </c>
      <c r="W6" s="1">
        <v>0</v>
      </c>
      <c r="X6" s="1">
        <v>16</v>
      </c>
      <c r="Y6" s="2"/>
      <c r="Z6" s="2"/>
      <c r="AA6" s="1">
        <v>16</v>
      </c>
      <c r="AB6" s="1">
        <v>0</v>
      </c>
      <c r="AC6" s="1">
        <v>0</v>
      </c>
      <c r="AD6" s="1">
        <v>8</v>
      </c>
      <c r="AE6" s="1">
        <v>0</v>
      </c>
      <c r="AF6" s="2"/>
      <c r="AG6" s="2"/>
      <c r="AH6" s="1">
        <v>0</v>
      </c>
    </row>
    <row r="7" spans="1:34">
      <c r="A7" s="1">
        <v>5</v>
      </c>
      <c r="B7" s="1" t="s">
        <v>7</v>
      </c>
      <c r="C7" s="1">
        <f t="shared" si="0"/>
        <v>0</v>
      </c>
      <c r="D7" s="2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2"/>
      <c r="L7" s="2"/>
      <c r="M7" s="1">
        <v>0</v>
      </c>
      <c r="N7" s="1">
        <v>0</v>
      </c>
      <c r="O7" s="1">
        <v>0</v>
      </c>
      <c r="P7" s="1">
        <v>0</v>
      </c>
      <c r="Q7" s="1">
        <v>0</v>
      </c>
      <c r="R7" s="2"/>
      <c r="S7" s="2"/>
      <c r="T7" s="1">
        <v>0</v>
      </c>
      <c r="U7" s="1">
        <v>0</v>
      </c>
      <c r="V7" s="1">
        <v>0</v>
      </c>
      <c r="W7" s="1">
        <v>0</v>
      </c>
      <c r="X7" s="1">
        <v>0</v>
      </c>
      <c r="Y7" s="2"/>
      <c r="Z7" s="2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2"/>
      <c r="AG7" s="2"/>
      <c r="AH7" s="1">
        <v>0</v>
      </c>
    </row>
    <row r="8" spans="1:34">
      <c r="A8" s="1">
        <v>6</v>
      </c>
      <c r="B8" s="1" t="s">
        <v>8</v>
      </c>
      <c r="C8" s="1">
        <f t="shared" si="0"/>
        <v>16</v>
      </c>
      <c r="D8" s="8"/>
      <c r="E8" s="8"/>
      <c r="F8" s="1">
        <v>0</v>
      </c>
      <c r="G8" s="1">
        <v>0</v>
      </c>
      <c r="H8" s="1">
        <v>0</v>
      </c>
      <c r="I8" s="1">
        <v>0</v>
      </c>
      <c r="J8" s="1">
        <v>0</v>
      </c>
      <c r="K8" s="2"/>
      <c r="L8" s="2"/>
      <c r="M8" s="1">
        <v>0</v>
      </c>
      <c r="N8" s="1">
        <v>0</v>
      </c>
      <c r="O8" s="1">
        <v>0</v>
      </c>
      <c r="P8" s="1">
        <v>0</v>
      </c>
      <c r="Q8" s="1">
        <v>0</v>
      </c>
      <c r="R8" s="2"/>
      <c r="S8" s="2"/>
      <c r="T8" s="1">
        <v>0</v>
      </c>
      <c r="U8" s="1">
        <v>0</v>
      </c>
      <c r="V8" s="1">
        <v>0</v>
      </c>
      <c r="W8" s="1">
        <v>0</v>
      </c>
      <c r="X8" s="1">
        <v>0</v>
      </c>
      <c r="Y8" s="2"/>
      <c r="Z8" s="2"/>
      <c r="AA8" s="1">
        <v>0</v>
      </c>
      <c r="AB8" s="1">
        <v>0</v>
      </c>
      <c r="AC8" s="1">
        <v>0</v>
      </c>
      <c r="AD8" s="1">
        <v>16</v>
      </c>
      <c r="AE8" s="1">
        <v>0</v>
      </c>
      <c r="AF8" s="2"/>
      <c r="AG8" s="2"/>
      <c r="AH8" s="1">
        <v>0</v>
      </c>
    </row>
    <row r="9" spans="1:34">
      <c r="A9" s="1">
        <v>7</v>
      </c>
      <c r="B9" s="1" t="s">
        <v>9</v>
      </c>
      <c r="C9" s="1">
        <f t="shared" si="0"/>
        <v>16</v>
      </c>
      <c r="D9" s="8"/>
      <c r="E9" s="8"/>
      <c r="F9" s="1">
        <v>0</v>
      </c>
      <c r="G9" s="1">
        <v>0</v>
      </c>
      <c r="H9" s="1">
        <v>0</v>
      </c>
      <c r="I9" s="1">
        <v>0</v>
      </c>
      <c r="J9" s="1">
        <v>0</v>
      </c>
      <c r="K9" s="2"/>
      <c r="L9" s="2"/>
      <c r="M9" s="1">
        <v>0</v>
      </c>
      <c r="N9" s="1">
        <v>0</v>
      </c>
      <c r="O9" s="1">
        <v>0</v>
      </c>
      <c r="P9" s="1">
        <v>0</v>
      </c>
      <c r="Q9" s="1">
        <v>16</v>
      </c>
      <c r="R9" s="2"/>
      <c r="S9" s="2"/>
      <c r="T9" s="1">
        <v>0</v>
      </c>
      <c r="U9" s="1">
        <v>0</v>
      </c>
      <c r="V9" s="1">
        <v>0</v>
      </c>
      <c r="W9" s="1">
        <v>0</v>
      </c>
      <c r="X9" s="1">
        <v>0</v>
      </c>
      <c r="Y9" s="2"/>
      <c r="Z9" s="2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2"/>
      <c r="AG9" s="2"/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/>
      <c r="L10" s="2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2"/>
      <c r="AG10" s="2"/>
      <c r="AH10" s="1">
        <v>0</v>
      </c>
    </row>
    <row r="11" spans="1:34">
      <c r="A11" s="1">
        <v>9</v>
      </c>
      <c r="B11" s="1" t="s">
        <v>11</v>
      </c>
      <c r="C11" s="1">
        <f t="shared" si="0"/>
        <v>16</v>
      </c>
      <c r="D11" s="2"/>
      <c r="E11" s="2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/>
      <c r="L11" s="2"/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/>
      <c r="Z11" s="2"/>
      <c r="AA11" s="1">
        <v>0</v>
      </c>
      <c r="AB11" s="1">
        <v>16</v>
      </c>
      <c r="AC11" s="1">
        <v>0</v>
      </c>
      <c r="AD11" s="1">
        <v>0</v>
      </c>
      <c r="AE11" s="1">
        <v>0</v>
      </c>
      <c r="AF11" s="2"/>
      <c r="AG11" s="2"/>
      <c r="AH11" s="1">
        <v>0</v>
      </c>
    </row>
    <row r="12" spans="1:34">
      <c r="A12" s="1">
        <v>10</v>
      </c>
      <c r="B12" s="1" t="s">
        <v>12</v>
      </c>
      <c r="C12" s="1">
        <f t="shared" si="0"/>
        <v>16</v>
      </c>
      <c r="D12" s="2"/>
      <c r="E12" s="2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"/>
      <c r="L12" s="2"/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/>
      <c r="S12" s="2"/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/>
      <c r="Z12" s="2"/>
      <c r="AA12" s="1">
        <v>16</v>
      </c>
      <c r="AB12" s="1">
        <v>0</v>
      </c>
      <c r="AC12" s="1">
        <v>0</v>
      </c>
      <c r="AD12" s="1">
        <v>0</v>
      </c>
      <c r="AE12" s="1">
        <v>0</v>
      </c>
      <c r="AF12" s="2"/>
      <c r="AG12" s="2"/>
      <c r="AH12" s="1">
        <v>0</v>
      </c>
    </row>
    <row r="13" spans="1:34">
      <c r="A13" s="1">
        <v>11</v>
      </c>
      <c r="B13" s="1" t="s">
        <v>13</v>
      </c>
      <c r="C13" s="1">
        <f t="shared" si="0"/>
        <v>4</v>
      </c>
      <c r="D13" s="2"/>
      <c r="E13" s="2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2"/>
      <c r="L13" s="2"/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/>
      <c r="S13" s="2"/>
      <c r="T13" s="1">
        <v>4</v>
      </c>
      <c r="U13" s="1">
        <v>0</v>
      </c>
      <c r="V13" s="1">
        <v>0</v>
      </c>
      <c r="W13" s="1">
        <v>0</v>
      </c>
      <c r="X13" s="1">
        <v>0</v>
      </c>
      <c r="Y13" s="2"/>
      <c r="Z13" s="2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2"/>
      <c r="AG13" s="2"/>
      <c r="AH13" s="1">
        <v>0</v>
      </c>
    </row>
    <row r="14" spans="1:34">
      <c r="A14" s="1">
        <v>12</v>
      </c>
      <c r="B14" s="1" t="s">
        <v>14</v>
      </c>
      <c r="C14" s="1">
        <f t="shared" si="0"/>
        <v>32</v>
      </c>
      <c r="D14" s="2"/>
      <c r="E14" s="2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2"/>
      <c r="L14" s="2"/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"/>
      <c r="S14" s="2"/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/>
      <c r="Z14" s="2"/>
      <c r="AA14" s="1">
        <v>0</v>
      </c>
      <c r="AB14" s="1">
        <v>0</v>
      </c>
      <c r="AC14" s="1">
        <v>0</v>
      </c>
      <c r="AD14" s="1">
        <v>0</v>
      </c>
      <c r="AE14" s="1">
        <v>16</v>
      </c>
      <c r="AF14" s="2"/>
      <c r="AG14" s="2"/>
      <c r="AH14" s="1">
        <v>16</v>
      </c>
    </row>
    <row r="15" spans="1:34">
      <c r="A15" s="1">
        <v>13</v>
      </c>
      <c r="B15" s="1" t="s">
        <v>16</v>
      </c>
      <c r="C15" s="1">
        <f t="shared" si="0"/>
        <v>17</v>
      </c>
      <c r="D15" s="2"/>
      <c r="E15" s="2"/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/>
      <c r="L15" s="2"/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/>
      <c r="Z15" s="2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2"/>
      <c r="AG15" s="2"/>
      <c r="AH15" s="1">
        <v>16</v>
      </c>
    </row>
    <row r="16" spans="1:34">
      <c r="A16" s="1">
        <v>14</v>
      </c>
      <c r="B16" s="1" t="s">
        <v>60</v>
      </c>
      <c r="C16" s="1">
        <f t="shared" si="0"/>
        <v>0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2"/>
      <c r="L16" s="2"/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2"/>
      <c r="S16" s="2"/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/>
      <c r="Z16" s="2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2"/>
      <c r="AG16" s="2"/>
      <c r="AH16" s="1">
        <v>0</v>
      </c>
    </row>
    <row r="17" spans="1:34">
      <c r="A17" s="1">
        <v>15</v>
      </c>
      <c r="B17" s="1" t="s">
        <v>66</v>
      </c>
      <c r="C17" s="1">
        <f t="shared" si="0"/>
        <v>0</v>
      </c>
      <c r="D17" s="2"/>
      <c r="E17" s="2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/>
      <c r="L17" s="2"/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2"/>
      <c r="S17" s="2"/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/>
      <c r="Z17" s="2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2"/>
      <c r="AG17" s="2"/>
      <c r="AH17" s="1">
        <v>0</v>
      </c>
    </row>
    <row r="18" spans="1:34">
      <c r="A18" s="1">
        <v>16</v>
      </c>
      <c r="B18" s="1" t="s">
        <v>87</v>
      </c>
      <c r="C18" s="1">
        <f t="shared" si="0"/>
        <v>0</v>
      </c>
      <c r="D18" s="2"/>
      <c r="E18" s="2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2"/>
      <c r="L18" s="2"/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2"/>
      <c r="S18" s="2"/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2"/>
      <c r="Z18" s="2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2"/>
      <c r="AG18" s="2"/>
      <c r="AH18" s="1">
        <v>0</v>
      </c>
    </row>
    <row r="19" spans="1:34">
      <c r="A19" s="1">
        <v>17</v>
      </c>
      <c r="B19" s="1" t="s">
        <v>104</v>
      </c>
      <c r="C19" s="1">
        <f t="shared" si="0"/>
        <v>8</v>
      </c>
      <c r="D19" s="2"/>
      <c r="E19" s="2"/>
      <c r="F19" s="1"/>
      <c r="G19" s="1"/>
      <c r="H19" s="1"/>
      <c r="I19" s="1"/>
      <c r="J19" s="1"/>
      <c r="K19" s="2"/>
      <c r="L19" s="2"/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"/>
      <c r="S19" s="2"/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2"/>
      <c r="Z19" s="2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2"/>
      <c r="AG19" s="2"/>
      <c r="AH19" s="1">
        <v>8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H1:AH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8">
    <cfRule type="duplicateValues" dxfId="48" priority="2"/>
  </conditionalFormatting>
  <conditionalFormatting sqref="B19">
    <cfRule type="duplicateValues" dxfId="47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H19"/>
  <sheetViews>
    <sheetView workbookViewId="0">
      <selection activeCell="A19" sqref="A19:B19"/>
    </sheetView>
  </sheetViews>
  <sheetFormatPr baseColWidth="10" defaultColWidth="8.83203125" defaultRowHeight="15"/>
  <cols>
    <col min="3" max="3" width="15.33203125" customWidth="1"/>
    <col min="4" max="17" width="8.83203125" hidden="1" customWidth="1"/>
    <col min="18" max="18" width="7.83203125" hidden="1" customWidth="1"/>
    <col min="19" max="33" width="8.83203125" hidden="1" customWidth="1"/>
    <col min="34" max="34" width="8.83203125" customWidth="1"/>
    <col min="36" max="36" width="0" hidden="1" customWidth="1"/>
  </cols>
  <sheetData>
    <row r="1" spans="1:34" ht="27">
      <c r="A1" s="73" t="s">
        <v>19</v>
      </c>
      <c r="B1" s="73"/>
      <c r="C1" s="64" t="s">
        <v>34</v>
      </c>
      <c r="D1" s="74">
        <v>45352</v>
      </c>
      <c r="E1" s="74">
        <v>45353</v>
      </c>
      <c r="F1" s="74">
        <v>45354</v>
      </c>
      <c r="G1" s="74">
        <v>45355</v>
      </c>
      <c r="H1" s="74">
        <v>45356</v>
      </c>
      <c r="I1" s="74">
        <v>45357</v>
      </c>
      <c r="J1" s="74">
        <v>45358</v>
      </c>
      <c r="K1" s="74">
        <v>45359</v>
      </c>
      <c r="L1" s="74">
        <v>45360</v>
      </c>
      <c r="M1" s="74">
        <v>45361</v>
      </c>
      <c r="N1" s="74">
        <v>45362</v>
      </c>
      <c r="O1" s="74">
        <v>45363</v>
      </c>
      <c r="P1" s="74">
        <v>45364</v>
      </c>
      <c r="Q1" s="74">
        <v>45365</v>
      </c>
      <c r="R1" s="74">
        <v>45366</v>
      </c>
      <c r="S1" s="74">
        <v>45367</v>
      </c>
      <c r="T1" s="74">
        <v>45368</v>
      </c>
      <c r="U1" s="74">
        <v>45369</v>
      </c>
      <c r="V1" s="74">
        <v>45370</v>
      </c>
      <c r="W1" s="74">
        <v>45371</v>
      </c>
      <c r="X1" s="74">
        <v>45372</v>
      </c>
      <c r="Y1" s="74">
        <v>45373</v>
      </c>
      <c r="Z1" s="74">
        <v>45374</v>
      </c>
      <c r="AA1" s="74">
        <v>45375</v>
      </c>
      <c r="AB1" s="74">
        <v>45376</v>
      </c>
      <c r="AC1" s="74">
        <v>45377</v>
      </c>
      <c r="AD1" s="74">
        <v>45378</v>
      </c>
      <c r="AE1" s="74">
        <v>45379</v>
      </c>
      <c r="AF1" s="74">
        <v>45380</v>
      </c>
      <c r="AG1" s="74">
        <v>45381</v>
      </c>
      <c r="AH1" s="74">
        <v>45382</v>
      </c>
    </row>
    <row r="2" spans="1:34">
      <c r="A2" s="1" t="s">
        <v>1</v>
      </c>
      <c r="B2" s="1" t="s">
        <v>2</v>
      </c>
      <c r="C2" s="7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pans="1:34">
      <c r="A3" s="1">
        <v>1</v>
      </c>
      <c r="B3" s="1" t="s">
        <v>51</v>
      </c>
      <c r="C3" s="1">
        <f t="shared" ref="C3:C19" si="0">SUM(D3:AH3)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2"/>
      <c r="L3" s="2"/>
      <c r="M3" s="1">
        <v>0</v>
      </c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2"/>
      <c r="AG3" s="2"/>
      <c r="AH3" s="1">
        <v>0</v>
      </c>
    </row>
    <row r="4" spans="1:34">
      <c r="A4" s="1">
        <v>2</v>
      </c>
      <c r="B4" s="1" t="s">
        <v>4</v>
      </c>
      <c r="C4" s="1">
        <f t="shared" si="0"/>
        <v>35</v>
      </c>
      <c r="D4" s="2"/>
      <c r="E4" s="2"/>
      <c r="F4" s="1">
        <v>0</v>
      </c>
      <c r="G4" s="1">
        <v>2</v>
      </c>
      <c r="H4" s="1">
        <v>2</v>
      </c>
      <c r="I4" s="1">
        <v>2</v>
      </c>
      <c r="J4" s="1">
        <v>2</v>
      </c>
      <c r="K4" s="2"/>
      <c r="L4" s="2"/>
      <c r="M4" s="1">
        <v>2</v>
      </c>
      <c r="N4" s="1">
        <v>2</v>
      </c>
      <c r="O4" s="1">
        <v>0</v>
      </c>
      <c r="P4" s="1">
        <v>2</v>
      </c>
      <c r="Q4" s="1">
        <v>0</v>
      </c>
      <c r="R4" s="2"/>
      <c r="S4" s="2"/>
      <c r="T4" s="1">
        <v>2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">
        <v>2</v>
      </c>
      <c r="AC4" s="1">
        <v>2</v>
      </c>
      <c r="AD4" s="1">
        <v>5</v>
      </c>
      <c r="AE4" s="1">
        <v>5</v>
      </c>
      <c r="AF4" s="2">
        <v>4</v>
      </c>
      <c r="AG4" s="2"/>
      <c r="AH4" s="1">
        <v>1</v>
      </c>
    </row>
    <row r="5" spans="1:34">
      <c r="A5" s="1">
        <v>3</v>
      </c>
      <c r="B5" s="1" t="s">
        <v>5</v>
      </c>
      <c r="C5" s="1">
        <f t="shared" si="0"/>
        <v>0</v>
      </c>
      <c r="D5" s="8"/>
      <c r="E5" s="8"/>
      <c r="F5" s="1">
        <v>0</v>
      </c>
      <c r="G5" s="1">
        <v>0</v>
      </c>
      <c r="H5" s="1">
        <v>0</v>
      </c>
      <c r="I5" s="1">
        <v>0</v>
      </c>
      <c r="J5" s="1">
        <v>0</v>
      </c>
      <c r="K5" s="2"/>
      <c r="L5" s="2"/>
      <c r="M5" s="1">
        <v>0</v>
      </c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2"/>
      <c r="AG5" s="2"/>
      <c r="AH5" s="1">
        <v>0</v>
      </c>
    </row>
    <row r="6" spans="1:34">
      <c r="A6" s="1">
        <v>4</v>
      </c>
      <c r="B6" s="1" t="s">
        <v>6</v>
      </c>
      <c r="C6" s="1">
        <f t="shared" si="0"/>
        <v>29</v>
      </c>
      <c r="D6" s="2"/>
      <c r="E6" s="2"/>
      <c r="F6" s="1">
        <v>0</v>
      </c>
      <c r="G6" s="1">
        <v>2</v>
      </c>
      <c r="H6" s="1">
        <v>2</v>
      </c>
      <c r="I6" s="1">
        <v>2</v>
      </c>
      <c r="J6" s="1">
        <v>2</v>
      </c>
      <c r="K6" s="2"/>
      <c r="L6" s="2"/>
      <c r="M6" s="1">
        <v>2</v>
      </c>
      <c r="N6" s="1">
        <v>0</v>
      </c>
      <c r="O6" s="1">
        <v>2</v>
      </c>
      <c r="P6" s="1">
        <v>2</v>
      </c>
      <c r="Q6" s="1">
        <v>1</v>
      </c>
      <c r="R6" s="2"/>
      <c r="S6" s="2"/>
      <c r="T6" s="1">
        <v>2</v>
      </c>
      <c r="U6" s="1">
        <v>2</v>
      </c>
      <c r="V6" s="1">
        <v>2</v>
      </c>
      <c r="W6" s="1">
        <v>0</v>
      </c>
      <c r="X6" s="1">
        <v>0</v>
      </c>
      <c r="Y6" s="2"/>
      <c r="Z6" s="2"/>
      <c r="AA6" s="1">
        <v>2</v>
      </c>
      <c r="AB6" s="1">
        <v>0</v>
      </c>
      <c r="AC6" s="1">
        <v>2</v>
      </c>
      <c r="AD6" s="1">
        <v>0</v>
      </c>
      <c r="AE6" s="1">
        <v>0</v>
      </c>
      <c r="AF6" s="2"/>
      <c r="AG6" s="2"/>
      <c r="AH6" s="1">
        <v>4</v>
      </c>
    </row>
    <row r="7" spans="1:34">
      <c r="A7" s="1">
        <v>5</v>
      </c>
      <c r="B7" s="1" t="s">
        <v>7</v>
      </c>
      <c r="C7" s="1">
        <f t="shared" si="0"/>
        <v>21</v>
      </c>
      <c r="D7" s="2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2"/>
      <c r="L7" s="2"/>
      <c r="M7" s="1">
        <v>0</v>
      </c>
      <c r="N7" s="1">
        <v>0</v>
      </c>
      <c r="O7" s="1">
        <v>0</v>
      </c>
      <c r="P7" s="1">
        <v>0</v>
      </c>
      <c r="Q7" s="1">
        <v>0</v>
      </c>
      <c r="R7" s="2"/>
      <c r="S7" s="2">
        <v>2</v>
      </c>
      <c r="T7" s="1">
        <v>2</v>
      </c>
      <c r="U7" s="1">
        <v>5</v>
      </c>
      <c r="V7" s="1">
        <v>0</v>
      </c>
      <c r="W7" s="1">
        <v>0</v>
      </c>
      <c r="X7" s="1">
        <v>4</v>
      </c>
      <c r="Y7" s="2"/>
      <c r="Z7" s="2"/>
      <c r="AA7" s="1">
        <v>0</v>
      </c>
      <c r="AB7" s="1">
        <v>0</v>
      </c>
      <c r="AC7" s="1">
        <v>0</v>
      </c>
      <c r="AD7" s="1">
        <v>4</v>
      </c>
      <c r="AE7" s="1">
        <v>0</v>
      </c>
      <c r="AF7" s="2"/>
      <c r="AG7" s="2"/>
      <c r="AH7" s="1">
        <v>4</v>
      </c>
    </row>
    <row r="8" spans="1:34">
      <c r="A8" s="1">
        <v>6</v>
      </c>
      <c r="B8" s="1" t="s">
        <v>8</v>
      </c>
      <c r="C8" s="1">
        <f t="shared" si="0"/>
        <v>24</v>
      </c>
      <c r="D8" s="8"/>
      <c r="E8" s="8"/>
      <c r="F8" s="1">
        <v>1</v>
      </c>
      <c r="G8" s="1">
        <v>2</v>
      </c>
      <c r="H8" s="1">
        <v>1</v>
      </c>
      <c r="I8" s="1">
        <v>1</v>
      </c>
      <c r="J8" s="1">
        <v>1</v>
      </c>
      <c r="K8" s="2"/>
      <c r="L8" s="2"/>
      <c r="M8" s="1">
        <v>0</v>
      </c>
      <c r="N8" s="1">
        <v>1</v>
      </c>
      <c r="O8" s="1">
        <v>1</v>
      </c>
      <c r="P8" s="1">
        <v>1</v>
      </c>
      <c r="Q8" s="1">
        <v>0</v>
      </c>
      <c r="R8" s="2"/>
      <c r="S8" s="2"/>
      <c r="T8" s="1">
        <v>1</v>
      </c>
      <c r="U8" s="1">
        <v>2</v>
      </c>
      <c r="V8" s="1">
        <v>1</v>
      </c>
      <c r="W8" s="1">
        <v>1</v>
      </c>
      <c r="X8" s="1">
        <v>1</v>
      </c>
      <c r="Y8" s="2"/>
      <c r="Z8" s="2"/>
      <c r="AA8" s="1">
        <v>3</v>
      </c>
      <c r="AB8" s="1">
        <v>3</v>
      </c>
      <c r="AC8" s="1">
        <v>1</v>
      </c>
      <c r="AD8" s="1">
        <v>0</v>
      </c>
      <c r="AE8" s="1">
        <v>2</v>
      </c>
      <c r="AF8" s="2"/>
      <c r="AG8" s="2"/>
      <c r="AH8" s="1">
        <v>0</v>
      </c>
    </row>
    <row r="9" spans="1:34">
      <c r="A9" s="1">
        <v>7</v>
      </c>
      <c r="B9" s="1" t="s">
        <v>9</v>
      </c>
      <c r="C9" s="1">
        <f t="shared" si="0"/>
        <v>32</v>
      </c>
      <c r="D9" s="8"/>
      <c r="E9" s="8"/>
      <c r="F9" s="1">
        <v>2</v>
      </c>
      <c r="G9" s="1">
        <v>2</v>
      </c>
      <c r="H9" s="1">
        <v>2</v>
      </c>
      <c r="I9" s="1">
        <v>2</v>
      </c>
      <c r="J9" s="1">
        <v>2</v>
      </c>
      <c r="K9" s="2"/>
      <c r="L9" s="2"/>
      <c r="M9" s="1">
        <v>2</v>
      </c>
      <c r="N9" s="1">
        <v>0</v>
      </c>
      <c r="O9" s="1">
        <v>0</v>
      </c>
      <c r="P9" s="1">
        <v>0</v>
      </c>
      <c r="Q9" s="1">
        <v>0</v>
      </c>
      <c r="R9" s="2"/>
      <c r="S9" s="2"/>
      <c r="T9" s="1">
        <v>0</v>
      </c>
      <c r="U9" s="1">
        <v>0</v>
      </c>
      <c r="V9" s="1">
        <v>2</v>
      </c>
      <c r="W9" s="1">
        <v>1</v>
      </c>
      <c r="X9" s="1">
        <v>3</v>
      </c>
      <c r="Y9" s="2"/>
      <c r="Z9" s="2"/>
      <c r="AA9" s="1">
        <v>1</v>
      </c>
      <c r="AB9" s="1">
        <v>3</v>
      </c>
      <c r="AC9" s="1">
        <v>3</v>
      </c>
      <c r="AD9" s="1">
        <v>3</v>
      </c>
      <c r="AE9" s="1">
        <v>0</v>
      </c>
      <c r="AF9" s="2"/>
      <c r="AG9" s="2"/>
      <c r="AH9" s="1">
        <v>4</v>
      </c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/>
      <c r="L10" s="2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2"/>
      <c r="AG10" s="2"/>
      <c r="AH10" s="1">
        <v>0</v>
      </c>
    </row>
    <row r="11" spans="1:34">
      <c r="A11" s="1">
        <v>9</v>
      </c>
      <c r="B11" s="1" t="s">
        <v>11</v>
      </c>
      <c r="C11" s="1">
        <f t="shared" si="0"/>
        <v>2</v>
      </c>
      <c r="D11" s="2"/>
      <c r="E11" s="2"/>
      <c r="F11" s="1">
        <v>0</v>
      </c>
      <c r="G11" s="1">
        <v>0</v>
      </c>
      <c r="H11" s="1">
        <v>0</v>
      </c>
      <c r="I11" s="1">
        <v>2</v>
      </c>
      <c r="J11" s="1">
        <v>0</v>
      </c>
      <c r="K11" s="2"/>
      <c r="L11" s="2"/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/>
      <c r="Z11" s="2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2"/>
      <c r="AG11" s="2"/>
      <c r="AH11" s="1">
        <v>0</v>
      </c>
    </row>
    <row r="12" spans="1:34">
      <c r="A12" s="1">
        <v>10</v>
      </c>
      <c r="B12" s="1" t="s">
        <v>12</v>
      </c>
      <c r="C12" s="1">
        <f t="shared" si="0"/>
        <v>25</v>
      </c>
      <c r="D12" s="2"/>
      <c r="E12" s="2"/>
      <c r="F12" s="1">
        <v>0</v>
      </c>
      <c r="G12" s="1">
        <v>2</v>
      </c>
      <c r="H12" s="1">
        <v>0</v>
      </c>
      <c r="I12" s="1">
        <v>2</v>
      </c>
      <c r="J12" s="1">
        <v>0</v>
      </c>
      <c r="K12" s="2"/>
      <c r="L12" s="2"/>
      <c r="M12" s="1">
        <v>2</v>
      </c>
      <c r="N12" s="1">
        <v>2</v>
      </c>
      <c r="O12" s="1">
        <v>2</v>
      </c>
      <c r="P12" s="1">
        <v>2</v>
      </c>
      <c r="Q12" s="1">
        <v>0</v>
      </c>
      <c r="R12" s="2"/>
      <c r="S12" s="2"/>
      <c r="T12" s="1">
        <v>1</v>
      </c>
      <c r="U12" s="1">
        <v>0</v>
      </c>
      <c r="V12" s="1">
        <v>2</v>
      </c>
      <c r="W12" s="1">
        <v>1</v>
      </c>
      <c r="X12" s="1">
        <v>0</v>
      </c>
      <c r="Y12" s="2"/>
      <c r="Z12" s="2"/>
      <c r="AA12" s="1">
        <v>0</v>
      </c>
      <c r="AB12" s="1">
        <v>1</v>
      </c>
      <c r="AC12" s="1">
        <v>0</v>
      </c>
      <c r="AD12" s="1">
        <v>3</v>
      </c>
      <c r="AE12" s="1">
        <v>4</v>
      </c>
      <c r="AF12" s="2"/>
      <c r="AG12" s="2"/>
      <c r="AH12" s="1">
        <v>1</v>
      </c>
    </row>
    <row r="13" spans="1:34">
      <c r="A13" s="1">
        <v>11</v>
      </c>
      <c r="B13" s="1" t="s">
        <v>13</v>
      </c>
      <c r="C13" s="1">
        <f t="shared" si="0"/>
        <v>26</v>
      </c>
      <c r="D13" s="2"/>
      <c r="E13" s="2"/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2"/>
      <c r="L13" s="2"/>
      <c r="M13" s="1">
        <v>2</v>
      </c>
      <c r="N13" s="1">
        <v>2</v>
      </c>
      <c r="O13" s="1">
        <v>0</v>
      </c>
      <c r="P13" s="1">
        <v>0</v>
      </c>
      <c r="Q13" s="1">
        <v>0</v>
      </c>
      <c r="R13" s="2"/>
      <c r="S13" s="2"/>
      <c r="T13" s="1">
        <v>0</v>
      </c>
      <c r="U13" s="1">
        <v>0</v>
      </c>
      <c r="V13" s="1">
        <v>2</v>
      </c>
      <c r="W13" s="1">
        <v>0</v>
      </c>
      <c r="X13" s="1">
        <v>0</v>
      </c>
      <c r="Y13" s="2"/>
      <c r="Z13" s="2"/>
      <c r="AA13" s="1">
        <v>0</v>
      </c>
      <c r="AB13" s="1">
        <v>0</v>
      </c>
      <c r="AC13" s="1">
        <v>3</v>
      </c>
      <c r="AD13" s="1">
        <v>3</v>
      </c>
      <c r="AE13" s="1">
        <v>0</v>
      </c>
      <c r="AF13" s="2"/>
      <c r="AG13" s="2"/>
      <c r="AH13" s="1">
        <v>4</v>
      </c>
    </row>
    <row r="14" spans="1:34">
      <c r="A14" s="1">
        <v>12</v>
      </c>
      <c r="B14" s="1" t="s">
        <v>14</v>
      </c>
      <c r="C14" s="1">
        <f t="shared" si="0"/>
        <v>32</v>
      </c>
      <c r="D14" s="2"/>
      <c r="E14" s="2"/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2"/>
      <c r="L14" s="2"/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2"/>
      <c r="S14" s="2"/>
      <c r="T14" s="1">
        <v>2</v>
      </c>
      <c r="U14" s="1">
        <v>2</v>
      </c>
      <c r="V14" s="1">
        <v>2</v>
      </c>
      <c r="W14" s="1">
        <v>2</v>
      </c>
      <c r="X14" s="1">
        <v>0</v>
      </c>
      <c r="Y14" s="2"/>
      <c r="Z14" s="2"/>
      <c r="AA14" s="1">
        <v>2</v>
      </c>
      <c r="AB14" s="1">
        <v>0</v>
      </c>
      <c r="AC14" s="1">
        <v>0</v>
      </c>
      <c r="AD14" s="1">
        <v>2</v>
      </c>
      <c r="AE14" s="1">
        <v>0</v>
      </c>
      <c r="AF14" s="2"/>
      <c r="AG14" s="2"/>
      <c r="AH14" s="1">
        <v>0</v>
      </c>
    </row>
    <row r="15" spans="1:34">
      <c r="A15" s="1">
        <v>13</v>
      </c>
      <c r="B15" s="1" t="s">
        <v>16</v>
      </c>
      <c r="C15" s="1">
        <f t="shared" si="0"/>
        <v>0</v>
      </c>
      <c r="D15" s="2"/>
      <c r="E15" s="2"/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/>
      <c r="L15" s="2"/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/>
      <c r="Z15" s="2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2"/>
      <c r="AG15" s="2"/>
      <c r="AH15" s="1">
        <v>0</v>
      </c>
    </row>
    <row r="16" spans="1:34">
      <c r="A16" s="1">
        <v>14</v>
      </c>
      <c r="B16" s="1" t="s">
        <v>60</v>
      </c>
      <c r="C16" s="1">
        <f t="shared" si="0"/>
        <v>0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2"/>
      <c r="L16" s="2"/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2"/>
      <c r="S16" s="2"/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/>
      <c r="Z16" s="2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2"/>
      <c r="AG16" s="2"/>
      <c r="AH16" s="1">
        <v>0</v>
      </c>
    </row>
    <row r="17" spans="1:34">
      <c r="A17" s="1">
        <v>15</v>
      </c>
      <c r="B17" s="1" t="s">
        <v>66</v>
      </c>
      <c r="C17" s="1">
        <f t="shared" si="0"/>
        <v>0</v>
      </c>
      <c r="D17" s="2"/>
      <c r="E17" s="2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/>
      <c r="L17" s="2"/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2"/>
      <c r="S17" s="2"/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/>
      <c r="Z17" s="2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2"/>
      <c r="AG17" s="2"/>
      <c r="AH17" s="1">
        <v>0</v>
      </c>
    </row>
    <row r="18" spans="1:34">
      <c r="A18" s="1">
        <v>16</v>
      </c>
      <c r="B18" s="1" t="s">
        <v>87</v>
      </c>
      <c r="C18" s="1">
        <f t="shared" si="0"/>
        <v>0</v>
      </c>
      <c r="D18" s="2"/>
      <c r="E18" s="2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2"/>
      <c r="L18" s="2"/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2"/>
      <c r="S18" s="2"/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2"/>
      <c r="Z18" s="2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2"/>
      <c r="AG18" s="2"/>
      <c r="AH18" s="1">
        <v>0</v>
      </c>
    </row>
    <row r="19" spans="1:34">
      <c r="A19" s="1">
        <v>17</v>
      </c>
      <c r="B19" s="1" t="s">
        <v>104</v>
      </c>
      <c r="C19" s="1">
        <f t="shared" si="0"/>
        <v>3</v>
      </c>
      <c r="D19" s="2"/>
      <c r="E19" s="2"/>
      <c r="F19" s="1"/>
      <c r="G19" s="1"/>
      <c r="H19" s="1"/>
      <c r="I19" s="1"/>
      <c r="J19" s="1"/>
      <c r="K19" s="2"/>
      <c r="L19" s="2"/>
      <c r="M19" s="1"/>
      <c r="N19" s="1"/>
      <c r="O19" s="1"/>
      <c r="P19" s="1"/>
      <c r="Q19" s="1"/>
      <c r="R19" s="2"/>
      <c r="S19" s="2"/>
      <c r="T19" s="1"/>
      <c r="U19" s="1"/>
      <c r="V19" s="1"/>
      <c r="W19" s="1"/>
      <c r="X19" s="1"/>
      <c r="Y19" s="2"/>
      <c r="Z19" s="2"/>
      <c r="AA19" s="1"/>
      <c r="AB19" s="1"/>
      <c r="AC19" s="1">
        <v>2</v>
      </c>
      <c r="AD19" s="1">
        <v>1</v>
      </c>
      <c r="AE19" s="1">
        <v>0</v>
      </c>
      <c r="AF19" s="2"/>
      <c r="AG19" s="2"/>
      <c r="AH19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H1:AH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9">
    <cfRule type="duplicateValues" dxfId="46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2"/>
  <sheetViews>
    <sheetView workbookViewId="0">
      <selection activeCell="AI10" sqref="AI10"/>
    </sheetView>
  </sheetViews>
  <sheetFormatPr baseColWidth="10" defaultColWidth="8.83203125" defaultRowHeight="15"/>
  <cols>
    <col min="2" max="2" width="8.83203125" customWidth="1"/>
    <col min="3" max="31" width="8.83203125" hidden="1" customWidth="1"/>
    <col min="32" max="32" width="8.83203125" customWidth="1"/>
  </cols>
  <sheetData>
    <row r="1" spans="1:32" ht="27">
      <c r="A1" s="70" t="s">
        <v>0</v>
      </c>
      <c r="B1" s="70"/>
      <c r="C1" s="68">
        <v>45383</v>
      </c>
      <c r="D1" s="68">
        <v>45384</v>
      </c>
      <c r="E1" s="68">
        <v>45385</v>
      </c>
      <c r="F1" s="68">
        <v>45386</v>
      </c>
      <c r="G1" s="68">
        <v>45387</v>
      </c>
      <c r="H1" s="68">
        <v>45388</v>
      </c>
      <c r="I1" s="68">
        <v>45389</v>
      </c>
      <c r="J1" s="68">
        <v>45390</v>
      </c>
      <c r="K1" s="68">
        <v>45391</v>
      </c>
      <c r="L1" s="68">
        <v>45392</v>
      </c>
      <c r="M1" s="68">
        <v>45393</v>
      </c>
      <c r="N1" s="68">
        <v>45394</v>
      </c>
      <c r="O1" s="68">
        <v>45395</v>
      </c>
      <c r="P1" s="68">
        <v>45396</v>
      </c>
      <c r="Q1" s="68">
        <v>45397</v>
      </c>
      <c r="R1" s="68">
        <v>45398</v>
      </c>
      <c r="S1" s="68">
        <v>45399</v>
      </c>
      <c r="T1" s="68">
        <v>45400</v>
      </c>
      <c r="U1" s="68">
        <v>45401</v>
      </c>
      <c r="V1" s="68">
        <v>45402</v>
      </c>
      <c r="W1" s="68">
        <v>45403</v>
      </c>
      <c r="X1" s="68">
        <v>45404</v>
      </c>
      <c r="Y1" s="68">
        <v>45405</v>
      </c>
      <c r="Z1" s="68">
        <v>45406</v>
      </c>
      <c r="AA1" s="68">
        <v>45407</v>
      </c>
      <c r="AB1" s="68">
        <v>45408</v>
      </c>
      <c r="AC1" s="68">
        <v>45409</v>
      </c>
      <c r="AD1" s="68">
        <v>45410</v>
      </c>
      <c r="AE1" s="68">
        <v>45411</v>
      </c>
      <c r="AF1" s="68">
        <v>45412</v>
      </c>
    </row>
    <row r="2" spans="1:32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</row>
    <row r="3" spans="1:32" ht="18">
      <c r="A3" s="1">
        <v>1</v>
      </c>
      <c r="B3" s="1" t="s">
        <v>51</v>
      </c>
      <c r="C3" s="1" t="s">
        <v>98</v>
      </c>
      <c r="D3" s="1" t="s">
        <v>98</v>
      </c>
      <c r="E3" s="2"/>
      <c r="F3" s="2"/>
      <c r="G3" s="2"/>
      <c r="H3" s="2"/>
      <c r="I3" s="1" t="s">
        <v>98</v>
      </c>
      <c r="J3" s="1" t="s">
        <v>92</v>
      </c>
      <c r="K3" s="1" t="s">
        <v>92</v>
      </c>
      <c r="L3" s="1" t="s">
        <v>92</v>
      </c>
      <c r="M3" s="1" t="s">
        <v>92</v>
      </c>
      <c r="N3" s="2"/>
      <c r="O3" s="2"/>
      <c r="P3" s="1" t="s">
        <v>92</v>
      </c>
      <c r="Q3" s="1" t="s">
        <v>92</v>
      </c>
      <c r="R3" s="1" t="s">
        <v>92</v>
      </c>
      <c r="S3" s="1" t="s">
        <v>92</v>
      </c>
      <c r="T3" s="1" t="s">
        <v>92</v>
      </c>
      <c r="U3" s="2"/>
      <c r="V3" s="2"/>
      <c r="W3" s="1" t="s">
        <v>92</v>
      </c>
      <c r="X3" s="1" t="s">
        <v>92</v>
      </c>
      <c r="Y3" s="1" t="s">
        <v>92</v>
      </c>
      <c r="Z3" s="1" t="s">
        <v>92</v>
      </c>
      <c r="AA3" s="1" t="s">
        <v>92</v>
      </c>
      <c r="AB3" s="2"/>
      <c r="AC3" s="2"/>
      <c r="AD3" s="1" t="s">
        <v>130</v>
      </c>
      <c r="AE3" s="1" t="s">
        <v>130</v>
      </c>
      <c r="AF3" s="16" t="s">
        <v>25</v>
      </c>
    </row>
    <row r="4" spans="1:32" ht="18">
      <c r="A4" s="1">
        <v>2</v>
      </c>
      <c r="B4" s="1" t="s">
        <v>4</v>
      </c>
      <c r="C4" s="16" t="s">
        <v>25</v>
      </c>
      <c r="D4" s="16" t="s">
        <v>30</v>
      </c>
      <c r="E4" s="2"/>
      <c r="F4" s="2"/>
      <c r="G4" s="2"/>
      <c r="H4" s="2"/>
      <c r="I4" s="1" t="s">
        <v>92</v>
      </c>
      <c r="J4" s="1" t="s">
        <v>92</v>
      </c>
      <c r="K4" s="1" t="s">
        <v>92</v>
      </c>
      <c r="L4" s="1" t="s">
        <v>92</v>
      </c>
      <c r="M4" s="1" t="s">
        <v>92</v>
      </c>
      <c r="N4" s="2"/>
      <c r="O4" s="2"/>
      <c r="P4" s="1" t="s">
        <v>92</v>
      </c>
      <c r="Q4" s="1" t="s">
        <v>92</v>
      </c>
      <c r="R4" s="1" t="s">
        <v>92</v>
      </c>
      <c r="S4" s="1" t="s">
        <v>92</v>
      </c>
      <c r="T4" s="1" t="s">
        <v>92</v>
      </c>
      <c r="U4" s="2"/>
      <c r="V4" s="2"/>
      <c r="W4" s="1" t="s">
        <v>92</v>
      </c>
      <c r="X4" s="1" t="s">
        <v>92</v>
      </c>
      <c r="Y4" s="1" t="s">
        <v>92</v>
      </c>
      <c r="Z4" s="1" t="s">
        <v>92</v>
      </c>
      <c r="AA4" s="1" t="s">
        <v>92</v>
      </c>
      <c r="AB4" s="2"/>
      <c r="AC4" s="2"/>
      <c r="AD4" s="1" t="s">
        <v>92</v>
      </c>
      <c r="AE4" s="1" t="s">
        <v>92</v>
      </c>
      <c r="AF4" s="2" t="s">
        <v>92</v>
      </c>
    </row>
    <row r="5" spans="1:32" ht="18">
      <c r="A5" s="1">
        <v>3</v>
      </c>
      <c r="B5" s="1" t="s">
        <v>5</v>
      </c>
      <c r="C5" s="1" t="s">
        <v>98</v>
      </c>
      <c r="D5" s="1" t="s">
        <v>98</v>
      </c>
      <c r="E5" s="2"/>
      <c r="F5" s="2"/>
      <c r="G5" s="2"/>
      <c r="H5" s="2"/>
      <c r="I5" s="1" t="s">
        <v>98</v>
      </c>
      <c r="J5" s="1" t="s">
        <v>98</v>
      </c>
      <c r="K5" s="1" t="s">
        <v>98</v>
      </c>
      <c r="L5" s="16" t="s">
        <v>25</v>
      </c>
      <c r="M5" s="1" t="s">
        <v>62</v>
      </c>
      <c r="N5" s="2"/>
      <c r="O5" s="2"/>
      <c r="P5" s="16" t="s">
        <v>25</v>
      </c>
      <c r="Q5" s="16" t="s">
        <v>25</v>
      </c>
      <c r="R5" s="16" t="s">
        <v>25</v>
      </c>
      <c r="S5" s="16" t="s">
        <v>25</v>
      </c>
      <c r="T5" s="16" t="s">
        <v>25</v>
      </c>
      <c r="U5" s="2"/>
      <c r="V5" s="2"/>
      <c r="W5" s="16" t="s">
        <v>25</v>
      </c>
      <c r="X5" s="16" t="s">
        <v>25</v>
      </c>
      <c r="Y5" s="16" t="s">
        <v>25</v>
      </c>
      <c r="Z5" s="16" t="s">
        <v>25</v>
      </c>
      <c r="AA5" s="16" t="s">
        <v>25</v>
      </c>
      <c r="AB5" s="2"/>
      <c r="AC5" s="2"/>
      <c r="AD5" s="16" t="s">
        <v>25</v>
      </c>
      <c r="AE5" s="16" t="s">
        <v>25</v>
      </c>
      <c r="AF5" s="16" t="s">
        <v>25</v>
      </c>
    </row>
    <row r="6" spans="1:32" ht="18">
      <c r="A6" s="1">
        <v>4</v>
      </c>
      <c r="B6" s="1" t="s">
        <v>6</v>
      </c>
      <c r="C6" s="1" t="s">
        <v>92</v>
      </c>
      <c r="D6" s="1" t="s">
        <v>92</v>
      </c>
      <c r="E6" s="2"/>
      <c r="F6" s="2"/>
      <c r="G6" s="2"/>
      <c r="H6" s="2"/>
      <c r="I6" s="1" t="s">
        <v>92</v>
      </c>
      <c r="J6" s="1" t="s">
        <v>92</v>
      </c>
      <c r="K6" s="1" t="s">
        <v>92</v>
      </c>
      <c r="L6" s="1" t="s">
        <v>92</v>
      </c>
      <c r="M6" s="1" t="s">
        <v>92</v>
      </c>
      <c r="N6" s="2"/>
      <c r="O6" s="2"/>
      <c r="P6" s="1" t="s">
        <v>92</v>
      </c>
      <c r="Q6" s="1" t="s">
        <v>92</v>
      </c>
      <c r="R6" s="1" t="s">
        <v>92</v>
      </c>
      <c r="S6" s="1" t="s">
        <v>92</v>
      </c>
      <c r="T6" s="1" t="s">
        <v>92</v>
      </c>
      <c r="U6" s="2"/>
      <c r="V6" s="2"/>
      <c r="W6" s="1" t="s">
        <v>92</v>
      </c>
      <c r="X6" s="1" t="s">
        <v>92</v>
      </c>
      <c r="Y6" s="1" t="s">
        <v>92</v>
      </c>
      <c r="Z6" s="1" t="s">
        <v>92</v>
      </c>
      <c r="AA6" s="16" t="s">
        <v>30</v>
      </c>
      <c r="AB6" s="2"/>
      <c r="AC6" s="2"/>
      <c r="AD6" s="16" t="s">
        <v>25</v>
      </c>
      <c r="AE6" s="16" t="s">
        <v>25</v>
      </c>
      <c r="AF6" s="16" t="s">
        <v>25</v>
      </c>
    </row>
    <row r="7" spans="1:32" ht="18">
      <c r="A7" s="1">
        <v>5</v>
      </c>
      <c r="B7" s="1" t="s">
        <v>127</v>
      </c>
      <c r="C7" s="1" t="s">
        <v>98</v>
      </c>
      <c r="D7" s="1" t="s">
        <v>98</v>
      </c>
      <c r="E7" s="2"/>
      <c r="F7" s="2"/>
      <c r="G7" s="2"/>
      <c r="H7" s="2"/>
      <c r="I7" s="1" t="s">
        <v>98</v>
      </c>
      <c r="J7" s="1" t="s">
        <v>92</v>
      </c>
      <c r="K7" s="1" t="s">
        <v>92</v>
      </c>
      <c r="L7" s="1" t="s">
        <v>92</v>
      </c>
      <c r="M7" s="1" t="s">
        <v>92</v>
      </c>
      <c r="N7" s="2"/>
      <c r="O7" s="2"/>
      <c r="P7" s="1" t="s">
        <v>92</v>
      </c>
      <c r="Q7" s="1" t="s">
        <v>92</v>
      </c>
      <c r="R7" s="1" t="s">
        <v>92</v>
      </c>
      <c r="S7" s="1" t="s">
        <v>92</v>
      </c>
      <c r="T7" s="1" t="s">
        <v>92</v>
      </c>
      <c r="U7" s="2"/>
      <c r="V7" s="2"/>
      <c r="W7" s="1" t="s">
        <v>92</v>
      </c>
      <c r="X7" s="1" t="s">
        <v>92</v>
      </c>
      <c r="Y7" s="1" t="s">
        <v>92</v>
      </c>
      <c r="Z7" s="1" t="s">
        <v>92</v>
      </c>
      <c r="AA7" s="1" t="s">
        <v>92</v>
      </c>
      <c r="AB7" s="2"/>
      <c r="AC7" s="2"/>
      <c r="AD7" s="1" t="s">
        <v>130</v>
      </c>
      <c r="AE7" s="1" t="s">
        <v>130</v>
      </c>
      <c r="AF7" s="16" t="s">
        <v>25</v>
      </c>
    </row>
    <row r="8" spans="1:32" ht="18">
      <c r="A8" s="1">
        <v>6</v>
      </c>
      <c r="B8" s="1" t="s">
        <v>128</v>
      </c>
      <c r="C8" s="1" t="s">
        <v>98</v>
      </c>
      <c r="D8" s="1" t="s">
        <v>98</v>
      </c>
      <c r="E8" s="2"/>
      <c r="F8" s="2"/>
      <c r="G8" s="2"/>
      <c r="H8" s="2"/>
      <c r="I8" s="1" t="s">
        <v>98</v>
      </c>
      <c r="J8" s="1" t="s">
        <v>92</v>
      </c>
      <c r="K8" s="1" t="s">
        <v>92</v>
      </c>
      <c r="L8" s="1" t="s">
        <v>92</v>
      </c>
      <c r="M8" s="1" t="s">
        <v>92</v>
      </c>
      <c r="N8" s="2"/>
      <c r="O8" s="2"/>
      <c r="P8" s="1" t="s">
        <v>92</v>
      </c>
      <c r="Q8" s="1" t="s">
        <v>92</v>
      </c>
      <c r="R8" s="1" t="s">
        <v>92</v>
      </c>
      <c r="S8" s="1" t="s">
        <v>92</v>
      </c>
      <c r="T8" s="1" t="s">
        <v>92</v>
      </c>
      <c r="U8" s="2"/>
      <c r="V8" s="2"/>
      <c r="W8" s="1" t="s">
        <v>92</v>
      </c>
      <c r="X8" s="1" t="s">
        <v>92</v>
      </c>
      <c r="Y8" s="1" t="s">
        <v>92</v>
      </c>
      <c r="Z8" s="1" t="s">
        <v>92</v>
      </c>
      <c r="AA8" s="1" t="s">
        <v>92</v>
      </c>
      <c r="AB8" s="2"/>
      <c r="AC8" s="2"/>
      <c r="AD8" s="1" t="s">
        <v>130</v>
      </c>
      <c r="AE8" s="1" t="s">
        <v>130</v>
      </c>
      <c r="AF8" s="16" t="s">
        <v>25</v>
      </c>
    </row>
    <row r="9" spans="1:32" ht="18">
      <c r="A9" s="1">
        <v>7</v>
      </c>
      <c r="B9" s="1" t="s">
        <v>9</v>
      </c>
      <c r="C9" s="1" t="s">
        <v>92</v>
      </c>
      <c r="D9" s="1" t="s">
        <v>92</v>
      </c>
      <c r="E9" s="2"/>
      <c r="F9" s="2"/>
      <c r="G9" s="2"/>
      <c r="H9" s="2"/>
      <c r="I9" s="1" t="s">
        <v>92</v>
      </c>
      <c r="J9" s="1" t="s">
        <v>92</v>
      </c>
      <c r="K9" s="1" t="s">
        <v>92</v>
      </c>
      <c r="L9" s="1" t="s">
        <v>92</v>
      </c>
      <c r="M9" s="1" t="s">
        <v>92</v>
      </c>
      <c r="N9" s="2"/>
      <c r="O9" s="2"/>
      <c r="P9" s="1" t="s">
        <v>92</v>
      </c>
      <c r="Q9" s="1" t="s">
        <v>92</v>
      </c>
      <c r="R9" s="1" t="s">
        <v>22</v>
      </c>
      <c r="S9" s="1" t="s">
        <v>62</v>
      </c>
      <c r="T9" s="16" t="s">
        <v>25</v>
      </c>
      <c r="U9" s="2"/>
      <c r="V9" s="2"/>
      <c r="W9" s="16" t="s">
        <v>25</v>
      </c>
      <c r="X9" s="16" t="s">
        <v>25</v>
      </c>
      <c r="Y9" s="16" t="s">
        <v>25</v>
      </c>
      <c r="Z9" s="16" t="s">
        <v>25</v>
      </c>
      <c r="AA9" s="16" t="s">
        <v>25</v>
      </c>
      <c r="AB9" s="2"/>
      <c r="AC9" s="2"/>
      <c r="AD9" s="16" t="s">
        <v>30</v>
      </c>
      <c r="AE9" s="16" t="s">
        <v>25</v>
      </c>
      <c r="AF9" s="16" t="s">
        <v>25</v>
      </c>
    </row>
    <row r="10" spans="1:32" ht="18">
      <c r="A10" s="1">
        <v>8</v>
      </c>
      <c r="B10" s="1" t="s">
        <v>10</v>
      </c>
      <c r="C10" s="1" t="s">
        <v>98</v>
      </c>
      <c r="D10" s="1" t="s">
        <v>98</v>
      </c>
      <c r="E10" s="2"/>
      <c r="F10" s="2"/>
      <c r="G10" s="2"/>
      <c r="H10" s="2"/>
      <c r="I10" s="1" t="s">
        <v>98</v>
      </c>
      <c r="J10" s="1" t="s">
        <v>98</v>
      </c>
      <c r="K10" s="1" t="s">
        <v>92</v>
      </c>
      <c r="L10" s="1" t="s">
        <v>92</v>
      </c>
      <c r="M10" s="1" t="s">
        <v>92</v>
      </c>
      <c r="N10" s="2"/>
      <c r="O10" s="2"/>
      <c r="P10" s="1" t="s">
        <v>92</v>
      </c>
      <c r="Q10" s="1" t="s">
        <v>92</v>
      </c>
      <c r="R10" s="1" t="s">
        <v>92</v>
      </c>
      <c r="S10" s="1" t="s">
        <v>92</v>
      </c>
      <c r="T10" s="1" t="s">
        <v>92</v>
      </c>
      <c r="U10" s="2"/>
      <c r="V10" s="2"/>
      <c r="W10" s="1" t="s">
        <v>92</v>
      </c>
      <c r="X10" s="1" t="s">
        <v>92</v>
      </c>
      <c r="Y10" s="1" t="s">
        <v>92</v>
      </c>
      <c r="Z10" s="1" t="s">
        <v>92</v>
      </c>
      <c r="AA10" s="1" t="s">
        <v>92</v>
      </c>
      <c r="AB10" s="2"/>
      <c r="AC10" s="2"/>
      <c r="AD10" s="16" t="s">
        <v>25</v>
      </c>
      <c r="AE10" s="1" t="s">
        <v>130</v>
      </c>
      <c r="AF10" s="16" t="s">
        <v>25</v>
      </c>
    </row>
    <row r="11" spans="1:32">
      <c r="A11" s="1">
        <v>9</v>
      </c>
      <c r="B11" s="1" t="s">
        <v>129</v>
      </c>
      <c r="C11" s="1" t="s">
        <v>98</v>
      </c>
      <c r="D11" s="1" t="s">
        <v>98</v>
      </c>
      <c r="E11" s="2"/>
      <c r="F11" s="2"/>
      <c r="G11" s="2"/>
      <c r="H11" s="2"/>
      <c r="I11" s="1" t="s">
        <v>98</v>
      </c>
      <c r="J11" s="1" t="s">
        <v>92</v>
      </c>
      <c r="K11" s="1" t="s">
        <v>92</v>
      </c>
      <c r="L11" s="1" t="s">
        <v>92</v>
      </c>
      <c r="M11" s="1" t="s">
        <v>92</v>
      </c>
      <c r="N11" s="2"/>
      <c r="O11" s="2"/>
      <c r="P11" s="1" t="s">
        <v>92</v>
      </c>
      <c r="Q11" s="1" t="s">
        <v>92</v>
      </c>
      <c r="R11" s="1" t="s">
        <v>92</v>
      </c>
      <c r="S11" s="1" t="s">
        <v>92</v>
      </c>
      <c r="T11" s="1" t="s">
        <v>92</v>
      </c>
      <c r="U11" s="2"/>
      <c r="V11" s="2"/>
      <c r="W11" s="1" t="s">
        <v>92</v>
      </c>
      <c r="X11" s="1" t="s">
        <v>92</v>
      </c>
      <c r="Y11" s="1" t="s">
        <v>92</v>
      </c>
      <c r="Z11" s="1" t="s">
        <v>92</v>
      </c>
      <c r="AA11" s="1" t="s">
        <v>92</v>
      </c>
      <c r="AB11" s="2"/>
      <c r="AC11" s="2"/>
      <c r="AD11" s="1" t="s">
        <v>92</v>
      </c>
      <c r="AE11" s="1" t="s">
        <v>92</v>
      </c>
      <c r="AF11" s="2" t="s">
        <v>92</v>
      </c>
    </row>
    <row r="12" spans="1:32" ht="18">
      <c r="A12" s="1">
        <v>10</v>
      </c>
      <c r="B12" s="1" t="s">
        <v>12</v>
      </c>
      <c r="C12" s="1" t="s">
        <v>92</v>
      </c>
      <c r="D12" s="1" t="s">
        <v>92</v>
      </c>
      <c r="E12" s="2"/>
      <c r="F12" s="2"/>
      <c r="G12" s="2"/>
      <c r="H12" s="2"/>
      <c r="I12" s="1" t="s">
        <v>92</v>
      </c>
      <c r="J12" s="1" t="s">
        <v>92</v>
      </c>
      <c r="K12" s="1" t="s">
        <v>92</v>
      </c>
      <c r="L12" s="1" t="s">
        <v>92</v>
      </c>
      <c r="M12" s="1" t="s">
        <v>92</v>
      </c>
      <c r="N12" s="2"/>
      <c r="O12" s="2"/>
      <c r="P12" s="1" t="s">
        <v>92</v>
      </c>
      <c r="Q12" s="1" t="s">
        <v>92</v>
      </c>
      <c r="R12" s="1" t="s">
        <v>92</v>
      </c>
      <c r="S12" s="1" t="s">
        <v>92</v>
      </c>
      <c r="T12" s="1" t="s">
        <v>92</v>
      </c>
      <c r="U12" s="2"/>
      <c r="V12" s="2"/>
      <c r="W12" s="1" t="s">
        <v>92</v>
      </c>
      <c r="X12" s="1" t="s">
        <v>92</v>
      </c>
      <c r="Y12" s="1" t="s">
        <v>92</v>
      </c>
      <c r="Z12" s="1" t="s">
        <v>92</v>
      </c>
      <c r="AA12" s="1" t="s">
        <v>92</v>
      </c>
      <c r="AB12" s="2"/>
      <c r="AC12" s="2"/>
      <c r="AD12" s="1" t="s">
        <v>92</v>
      </c>
      <c r="AE12" s="16" t="s">
        <v>25</v>
      </c>
      <c r="AF12" s="16" t="s">
        <v>25</v>
      </c>
    </row>
    <row r="13" spans="1:32" ht="18">
      <c r="A13" s="1">
        <v>11</v>
      </c>
      <c r="B13" s="1" t="s">
        <v>13</v>
      </c>
      <c r="C13" s="1" t="s">
        <v>92</v>
      </c>
      <c r="D13" s="1" t="s">
        <v>92</v>
      </c>
      <c r="E13" s="2"/>
      <c r="F13" s="2"/>
      <c r="G13" s="2"/>
      <c r="H13" s="2"/>
      <c r="I13" s="1" t="s">
        <v>92</v>
      </c>
      <c r="J13" s="1" t="s">
        <v>92</v>
      </c>
      <c r="K13" s="1" t="s">
        <v>92</v>
      </c>
      <c r="L13" s="1" t="s">
        <v>92</v>
      </c>
      <c r="M13" s="1" t="s">
        <v>92</v>
      </c>
      <c r="N13" s="2"/>
      <c r="O13" s="2"/>
      <c r="P13" s="1" t="s">
        <v>92</v>
      </c>
      <c r="Q13" s="1" t="s">
        <v>92</v>
      </c>
      <c r="R13" s="1" t="s">
        <v>92</v>
      </c>
      <c r="S13" s="1" t="s">
        <v>92</v>
      </c>
      <c r="T13" s="1" t="s">
        <v>92</v>
      </c>
      <c r="U13" s="2"/>
      <c r="V13" s="2"/>
      <c r="W13" s="4" t="s">
        <v>22</v>
      </c>
      <c r="X13" s="16" t="s">
        <v>25</v>
      </c>
      <c r="Y13" s="16" t="s">
        <v>25</v>
      </c>
      <c r="Z13" s="16" t="s">
        <v>25</v>
      </c>
      <c r="AA13" s="16" t="s">
        <v>25</v>
      </c>
      <c r="AB13" s="2"/>
      <c r="AC13" s="2"/>
      <c r="AD13" s="16" t="s">
        <v>25</v>
      </c>
      <c r="AE13" s="16" t="s">
        <v>25</v>
      </c>
      <c r="AF13" s="16" t="s">
        <v>25</v>
      </c>
    </row>
    <row r="14" spans="1:32" ht="18">
      <c r="A14" s="1">
        <v>12</v>
      </c>
      <c r="B14" s="1" t="s">
        <v>14</v>
      </c>
      <c r="C14" s="1" t="s">
        <v>92</v>
      </c>
      <c r="D14" s="1" t="s">
        <v>92</v>
      </c>
      <c r="E14" s="2"/>
      <c r="F14" s="2"/>
      <c r="G14" s="2"/>
      <c r="H14" s="2"/>
      <c r="I14" s="1" t="s">
        <v>92</v>
      </c>
      <c r="J14" s="1" t="s">
        <v>92</v>
      </c>
      <c r="K14" s="1" t="s">
        <v>92</v>
      </c>
      <c r="L14" s="1" t="s">
        <v>92</v>
      </c>
      <c r="M14" s="1" t="s">
        <v>92</v>
      </c>
      <c r="N14" s="2"/>
      <c r="O14" s="2"/>
      <c r="P14" s="1" t="s">
        <v>92</v>
      </c>
      <c r="Q14" s="1" t="s">
        <v>92</v>
      </c>
      <c r="R14" s="1" t="s">
        <v>92</v>
      </c>
      <c r="S14" s="1" t="s">
        <v>92</v>
      </c>
      <c r="T14" s="1" t="s">
        <v>92</v>
      </c>
      <c r="U14" s="2"/>
      <c r="V14" s="2"/>
      <c r="W14" s="1" t="s">
        <v>92</v>
      </c>
      <c r="X14" s="1" t="s">
        <v>92</v>
      </c>
      <c r="Y14" s="1" t="s">
        <v>92</v>
      </c>
      <c r="Z14" s="1" t="s">
        <v>92</v>
      </c>
      <c r="AA14" s="1" t="s">
        <v>92</v>
      </c>
      <c r="AB14" s="2"/>
      <c r="AC14" s="2"/>
      <c r="AD14" s="1" t="s">
        <v>92</v>
      </c>
      <c r="AE14" s="16" t="s">
        <v>25</v>
      </c>
      <c r="AF14" s="16" t="s">
        <v>25</v>
      </c>
    </row>
    <row r="15" spans="1:32">
      <c r="A15" s="1">
        <v>13</v>
      </c>
      <c r="B15" s="1" t="s">
        <v>88</v>
      </c>
      <c r="C15" s="1" t="s">
        <v>98</v>
      </c>
      <c r="D15" s="1" t="s">
        <v>98</v>
      </c>
      <c r="E15" s="2"/>
      <c r="F15" s="2"/>
      <c r="G15" s="2"/>
      <c r="H15" s="2"/>
      <c r="I15" s="1" t="s">
        <v>98</v>
      </c>
      <c r="J15" s="1" t="s">
        <v>92</v>
      </c>
      <c r="K15" s="1" t="s">
        <v>92</v>
      </c>
      <c r="L15" s="1" t="s">
        <v>92</v>
      </c>
      <c r="M15" s="1" t="s">
        <v>92</v>
      </c>
      <c r="N15" s="2"/>
      <c r="O15" s="2"/>
      <c r="P15" s="1" t="s">
        <v>92</v>
      </c>
      <c r="Q15" s="1" t="s">
        <v>92</v>
      </c>
      <c r="R15" s="1" t="s">
        <v>92</v>
      </c>
      <c r="S15" s="1" t="s">
        <v>92</v>
      </c>
      <c r="T15" s="1" t="s">
        <v>92</v>
      </c>
      <c r="U15" s="2"/>
      <c r="V15" s="2"/>
      <c r="W15" s="1" t="s">
        <v>92</v>
      </c>
      <c r="X15" s="1" t="s">
        <v>92</v>
      </c>
      <c r="Y15" s="1" t="s">
        <v>92</v>
      </c>
      <c r="Z15" s="1" t="s">
        <v>92</v>
      </c>
      <c r="AA15" s="1" t="s">
        <v>92</v>
      </c>
      <c r="AB15" s="2"/>
      <c r="AC15" s="2"/>
      <c r="AD15" s="1" t="s">
        <v>92</v>
      </c>
      <c r="AE15" s="1" t="s">
        <v>92</v>
      </c>
      <c r="AF15" s="2" t="s">
        <v>92</v>
      </c>
    </row>
    <row r="16" spans="1:32">
      <c r="A16" s="1">
        <v>14</v>
      </c>
      <c r="B16" s="1" t="s">
        <v>60</v>
      </c>
      <c r="C16" s="1" t="s">
        <v>98</v>
      </c>
      <c r="D16" s="4" t="s">
        <v>22</v>
      </c>
      <c r="E16" s="2"/>
      <c r="F16" s="2"/>
      <c r="G16" s="2"/>
      <c r="H16" s="2"/>
      <c r="I16" s="1" t="s">
        <v>98</v>
      </c>
      <c r="J16" s="1" t="s">
        <v>92</v>
      </c>
      <c r="K16" s="1" t="s">
        <v>92</v>
      </c>
      <c r="L16" s="1" t="s">
        <v>92</v>
      </c>
      <c r="M16" s="1" t="s">
        <v>92</v>
      </c>
      <c r="N16" s="2"/>
      <c r="O16" s="2"/>
      <c r="P16" s="1" t="s">
        <v>92</v>
      </c>
      <c r="Q16" s="1" t="s">
        <v>92</v>
      </c>
      <c r="R16" s="1" t="s">
        <v>92</v>
      </c>
      <c r="S16" s="1" t="s">
        <v>92</v>
      </c>
      <c r="T16" s="1" t="s">
        <v>92</v>
      </c>
      <c r="U16" s="2"/>
      <c r="V16" s="2"/>
      <c r="W16" s="1" t="s">
        <v>92</v>
      </c>
      <c r="X16" s="1" t="s">
        <v>92</v>
      </c>
      <c r="Y16" s="1" t="s">
        <v>92</v>
      </c>
      <c r="Z16" s="1" t="s">
        <v>92</v>
      </c>
      <c r="AA16" s="1" t="s">
        <v>92</v>
      </c>
      <c r="AB16" s="2"/>
      <c r="AC16" s="2"/>
      <c r="AD16" s="1" t="s">
        <v>92</v>
      </c>
      <c r="AE16" s="1" t="s">
        <v>92</v>
      </c>
      <c r="AF16" s="2" t="s">
        <v>92</v>
      </c>
    </row>
    <row r="17" spans="1:32" ht="18">
      <c r="A17" s="1">
        <v>15</v>
      </c>
      <c r="B17" s="1" t="s">
        <v>66</v>
      </c>
      <c r="C17" s="1" t="s">
        <v>98</v>
      </c>
      <c r="D17" s="1" t="s">
        <v>98</v>
      </c>
      <c r="E17" s="2"/>
      <c r="F17" s="2"/>
      <c r="G17" s="2"/>
      <c r="H17" s="2"/>
      <c r="I17" s="1" t="s">
        <v>92</v>
      </c>
      <c r="J17" s="1" t="s">
        <v>92</v>
      </c>
      <c r="K17" s="1" t="s">
        <v>92</v>
      </c>
      <c r="L17" s="1" t="s">
        <v>92</v>
      </c>
      <c r="M17" s="1" t="s">
        <v>92</v>
      </c>
      <c r="N17" s="2"/>
      <c r="O17" s="2"/>
      <c r="P17" s="1" t="s">
        <v>92</v>
      </c>
      <c r="Q17" s="1" t="s">
        <v>92</v>
      </c>
      <c r="R17" s="1" t="s">
        <v>92</v>
      </c>
      <c r="S17" s="1" t="s">
        <v>92</v>
      </c>
      <c r="T17" s="1" t="s">
        <v>92</v>
      </c>
      <c r="U17" s="2"/>
      <c r="V17" s="2"/>
      <c r="W17" s="1" t="s">
        <v>92</v>
      </c>
      <c r="X17" s="1" t="s">
        <v>92</v>
      </c>
      <c r="Y17" s="1" t="s">
        <v>92</v>
      </c>
      <c r="Z17" s="1" t="s">
        <v>92</v>
      </c>
      <c r="AA17" s="1" t="s">
        <v>92</v>
      </c>
      <c r="AB17" s="2"/>
      <c r="AC17" s="2"/>
      <c r="AD17" s="1" t="s">
        <v>92</v>
      </c>
      <c r="AE17" s="16" t="s">
        <v>25</v>
      </c>
      <c r="AF17" s="16" t="s">
        <v>25</v>
      </c>
    </row>
    <row r="18" spans="1:32" ht="18">
      <c r="A18" s="1">
        <v>16</v>
      </c>
      <c r="B18" s="1" t="s">
        <v>87</v>
      </c>
      <c r="C18" s="1" t="s">
        <v>98</v>
      </c>
      <c r="D18" s="1" t="s">
        <v>98</v>
      </c>
      <c r="E18" s="2"/>
      <c r="F18" s="2"/>
      <c r="G18" s="2"/>
      <c r="H18" s="2"/>
      <c r="I18" s="1" t="s">
        <v>92</v>
      </c>
      <c r="J18" s="1" t="s">
        <v>92</v>
      </c>
      <c r="K18" s="1" t="s">
        <v>92</v>
      </c>
      <c r="L18" s="1" t="s">
        <v>92</v>
      </c>
      <c r="M18" s="1" t="s">
        <v>92</v>
      </c>
      <c r="N18" s="2"/>
      <c r="O18" s="2"/>
      <c r="P18" s="1" t="s">
        <v>92</v>
      </c>
      <c r="Q18" s="1" t="s">
        <v>92</v>
      </c>
      <c r="R18" s="1" t="s">
        <v>92</v>
      </c>
      <c r="S18" s="1" t="s">
        <v>92</v>
      </c>
      <c r="T18" s="1" t="s">
        <v>92</v>
      </c>
      <c r="U18" s="2"/>
      <c r="V18" s="2"/>
      <c r="W18" s="1" t="s">
        <v>92</v>
      </c>
      <c r="X18" s="1" t="s">
        <v>92</v>
      </c>
      <c r="Y18" s="1" t="s">
        <v>92</v>
      </c>
      <c r="Z18" s="1" t="s">
        <v>92</v>
      </c>
      <c r="AA18" s="1" t="s">
        <v>92</v>
      </c>
      <c r="AB18" s="2"/>
      <c r="AC18" s="2"/>
      <c r="AD18" s="1" t="s">
        <v>92</v>
      </c>
      <c r="AE18" s="16" t="s">
        <v>25</v>
      </c>
      <c r="AF18" s="16" t="s">
        <v>25</v>
      </c>
    </row>
    <row r="19" spans="1:32" ht="18">
      <c r="A19" s="1">
        <v>17</v>
      </c>
      <c r="B19" s="1" t="s">
        <v>104</v>
      </c>
      <c r="C19" s="1" t="s">
        <v>98</v>
      </c>
      <c r="D19" s="1" t="s">
        <v>98</v>
      </c>
      <c r="E19" s="2"/>
      <c r="F19" s="2"/>
      <c r="G19" s="2"/>
      <c r="H19" s="2"/>
      <c r="I19" s="1" t="s">
        <v>92</v>
      </c>
      <c r="J19" s="1" t="s">
        <v>92</v>
      </c>
      <c r="K19" s="1" t="s">
        <v>92</v>
      </c>
      <c r="L19" s="1" t="s">
        <v>92</v>
      </c>
      <c r="M19" s="1" t="s">
        <v>92</v>
      </c>
      <c r="N19" s="2"/>
      <c r="O19" s="2"/>
      <c r="P19" s="1" t="s">
        <v>92</v>
      </c>
      <c r="Q19" s="1" t="s">
        <v>92</v>
      </c>
      <c r="R19" s="1" t="s">
        <v>92</v>
      </c>
      <c r="S19" s="1" t="s">
        <v>92</v>
      </c>
      <c r="T19" s="1" t="s">
        <v>92</v>
      </c>
      <c r="U19" s="2"/>
      <c r="V19" s="2"/>
      <c r="W19" s="1" t="s">
        <v>92</v>
      </c>
      <c r="X19" s="1" t="s">
        <v>92</v>
      </c>
      <c r="Y19" s="1" t="s">
        <v>92</v>
      </c>
      <c r="Z19" s="1" t="s">
        <v>92</v>
      </c>
      <c r="AA19" s="1" t="s">
        <v>92</v>
      </c>
      <c r="AB19" s="2"/>
      <c r="AC19" s="2"/>
      <c r="AD19" s="1" t="s">
        <v>92</v>
      </c>
      <c r="AE19" s="16" t="s">
        <v>25</v>
      </c>
      <c r="AF19" s="16" t="s">
        <v>25</v>
      </c>
    </row>
    <row r="20" spans="1:32">
      <c r="A20" s="5" t="s">
        <v>25</v>
      </c>
      <c r="B20" t="s">
        <v>23</v>
      </c>
    </row>
    <row r="21" spans="1:32">
      <c r="A21" s="4" t="s">
        <v>22</v>
      </c>
      <c r="B21" t="s">
        <v>24</v>
      </c>
    </row>
    <row r="22" spans="1:32">
      <c r="A22" s="7" t="s">
        <v>30</v>
      </c>
      <c r="B22" s="6" t="s">
        <v>29</v>
      </c>
    </row>
  </sheetData>
  <mergeCells count="31">
    <mergeCell ref="AF1:AF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45" priority="2"/>
  </conditionalFormatting>
  <conditionalFormatting sqref="B19">
    <cfRule type="duplicateValues" dxfId="44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G19"/>
  <sheetViews>
    <sheetView workbookViewId="0">
      <selection activeCell="AJ8" sqref="AJ8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2" width="8.83203125" hidden="1" customWidth="1"/>
    <col min="33" max="33" width="8.83203125" customWidth="1"/>
  </cols>
  <sheetData>
    <row r="1" spans="1:33" ht="27">
      <c r="A1" s="71" t="s">
        <v>17</v>
      </c>
      <c r="B1" s="71"/>
      <c r="C1" s="64" t="s">
        <v>35</v>
      </c>
      <c r="D1" s="68">
        <v>45383</v>
      </c>
      <c r="E1" s="68">
        <v>45384</v>
      </c>
      <c r="F1" s="68">
        <v>45385</v>
      </c>
      <c r="G1" s="68">
        <v>45386</v>
      </c>
      <c r="H1" s="68">
        <v>45387</v>
      </c>
      <c r="I1" s="68">
        <v>45388</v>
      </c>
      <c r="J1" s="68">
        <v>45389</v>
      </c>
      <c r="K1" s="68">
        <v>45390</v>
      </c>
      <c r="L1" s="68">
        <v>45391</v>
      </c>
      <c r="M1" s="68">
        <v>45392</v>
      </c>
      <c r="N1" s="68">
        <v>45393</v>
      </c>
      <c r="O1" s="68">
        <v>45394</v>
      </c>
      <c r="P1" s="68">
        <v>45395</v>
      </c>
      <c r="Q1" s="68">
        <v>45396</v>
      </c>
      <c r="R1" s="68">
        <v>45397</v>
      </c>
      <c r="S1" s="68">
        <v>45398</v>
      </c>
      <c r="T1" s="68">
        <v>45399</v>
      </c>
      <c r="U1" s="68">
        <v>45400</v>
      </c>
      <c r="V1" s="68">
        <v>45401</v>
      </c>
      <c r="W1" s="68">
        <v>45402</v>
      </c>
      <c r="X1" s="68">
        <v>45403</v>
      </c>
      <c r="Y1" s="68">
        <v>45404</v>
      </c>
      <c r="Z1" s="68">
        <v>45405</v>
      </c>
      <c r="AA1" s="68">
        <v>45406</v>
      </c>
      <c r="AB1" s="68">
        <v>45407</v>
      </c>
      <c r="AC1" s="68">
        <v>45408</v>
      </c>
      <c r="AD1" s="68">
        <v>45409</v>
      </c>
      <c r="AE1" s="68">
        <v>45410</v>
      </c>
      <c r="AF1" s="68">
        <v>45411</v>
      </c>
      <c r="AG1" s="68">
        <v>45412</v>
      </c>
    </row>
    <row r="2" spans="1:33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>
      <c r="A3" s="1">
        <v>1</v>
      </c>
      <c r="B3" s="1" t="s">
        <v>3</v>
      </c>
      <c r="C3" s="1">
        <f t="shared" ref="C3:C19" si="0">SUM(D3:AG3)</f>
        <v>0</v>
      </c>
      <c r="D3" s="1">
        <v>0</v>
      </c>
      <c r="E3" s="1">
        <v>0</v>
      </c>
      <c r="F3" s="2"/>
      <c r="G3" s="2"/>
      <c r="H3" s="2"/>
      <c r="I3" s="2"/>
      <c r="J3" s="1">
        <v>0</v>
      </c>
      <c r="K3" s="1">
        <v>0</v>
      </c>
      <c r="L3" s="1">
        <v>0</v>
      </c>
      <c r="M3" s="1">
        <v>0</v>
      </c>
      <c r="N3" s="1">
        <v>0</v>
      </c>
      <c r="O3" s="2"/>
      <c r="P3" s="2"/>
      <c r="Q3" s="1">
        <v>0</v>
      </c>
      <c r="R3" s="1">
        <v>0</v>
      </c>
      <c r="S3" s="1">
        <v>0</v>
      </c>
      <c r="T3" s="1">
        <v>0</v>
      </c>
      <c r="U3" s="1">
        <v>0</v>
      </c>
      <c r="V3" s="2"/>
      <c r="W3" s="2"/>
      <c r="X3" s="1">
        <v>0</v>
      </c>
      <c r="Y3" s="1">
        <v>0</v>
      </c>
      <c r="Z3" s="1">
        <v>0</v>
      </c>
      <c r="AA3" s="1">
        <v>0</v>
      </c>
      <c r="AB3" s="1">
        <v>0</v>
      </c>
      <c r="AC3" s="2"/>
      <c r="AD3" s="2"/>
      <c r="AE3" s="1">
        <v>0</v>
      </c>
      <c r="AF3" s="1">
        <v>0</v>
      </c>
      <c r="AG3" s="1">
        <v>0</v>
      </c>
    </row>
    <row r="4" spans="1:33">
      <c r="A4" s="1">
        <v>2</v>
      </c>
      <c r="B4" s="1" t="s">
        <v>4</v>
      </c>
      <c r="C4" s="1">
        <f t="shared" si="0"/>
        <v>20</v>
      </c>
      <c r="D4" s="1">
        <v>0</v>
      </c>
      <c r="E4" s="1">
        <v>2</v>
      </c>
      <c r="F4" s="2"/>
      <c r="G4" s="2"/>
      <c r="H4" s="2"/>
      <c r="I4" s="2"/>
      <c r="J4" s="1">
        <v>0</v>
      </c>
      <c r="K4" s="1">
        <v>0</v>
      </c>
      <c r="L4" s="1">
        <v>0</v>
      </c>
      <c r="M4" s="1">
        <v>0</v>
      </c>
      <c r="N4" s="1">
        <v>0</v>
      </c>
      <c r="O4" s="2"/>
      <c r="P4" s="2"/>
      <c r="Q4" s="1">
        <v>0</v>
      </c>
      <c r="R4" s="1">
        <v>0</v>
      </c>
      <c r="S4" s="1">
        <v>0</v>
      </c>
      <c r="T4" s="1">
        <v>0</v>
      </c>
      <c r="U4" s="1">
        <v>0</v>
      </c>
      <c r="V4" s="2"/>
      <c r="W4" s="2"/>
      <c r="X4" s="1">
        <v>0</v>
      </c>
      <c r="Y4" s="1">
        <v>0</v>
      </c>
      <c r="Z4" s="1">
        <v>0</v>
      </c>
      <c r="AA4" s="1">
        <v>0</v>
      </c>
      <c r="AB4" s="1">
        <v>2</v>
      </c>
      <c r="AC4" s="2"/>
      <c r="AD4" s="2"/>
      <c r="AE4" s="1">
        <v>0</v>
      </c>
      <c r="AF4" s="1">
        <v>0</v>
      </c>
      <c r="AG4" s="2">
        <v>16</v>
      </c>
    </row>
    <row r="5" spans="1:33">
      <c r="A5" s="1">
        <v>3</v>
      </c>
      <c r="B5" s="1" t="s">
        <v>5</v>
      </c>
      <c r="C5" s="1">
        <f t="shared" si="0"/>
        <v>5</v>
      </c>
      <c r="D5" s="1">
        <v>0</v>
      </c>
      <c r="E5" s="1">
        <v>1</v>
      </c>
      <c r="F5" s="2"/>
      <c r="G5" s="2"/>
      <c r="H5" s="2"/>
      <c r="I5" s="2"/>
      <c r="J5" s="1">
        <v>0</v>
      </c>
      <c r="K5" s="1">
        <v>0</v>
      </c>
      <c r="L5" s="1">
        <v>0</v>
      </c>
      <c r="M5" s="1">
        <v>0</v>
      </c>
      <c r="N5" s="1">
        <v>0</v>
      </c>
      <c r="O5" s="2"/>
      <c r="P5" s="2"/>
      <c r="Q5" s="1">
        <v>0</v>
      </c>
      <c r="R5" s="1">
        <v>1</v>
      </c>
      <c r="S5" s="1">
        <v>1</v>
      </c>
      <c r="T5" s="1">
        <v>0</v>
      </c>
      <c r="U5" s="1">
        <v>0</v>
      </c>
      <c r="V5" s="2"/>
      <c r="W5" s="2"/>
      <c r="X5" s="1">
        <v>0</v>
      </c>
      <c r="Y5" s="1">
        <v>0</v>
      </c>
      <c r="Z5" s="1">
        <v>0</v>
      </c>
      <c r="AA5" s="1">
        <v>0</v>
      </c>
      <c r="AB5" s="1">
        <v>0</v>
      </c>
      <c r="AC5" s="2"/>
      <c r="AD5" s="2"/>
      <c r="AE5" s="1">
        <v>0</v>
      </c>
      <c r="AF5" s="1">
        <v>0</v>
      </c>
      <c r="AG5" s="1">
        <v>2</v>
      </c>
    </row>
    <row r="6" spans="1:33">
      <c r="A6" s="1">
        <v>4</v>
      </c>
      <c r="B6" s="1" t="s">
        <v>6</v>
      </c>
      <c r="C6" s="1">
        <f t="shared" si="0"/>
        <v>18</v>
      </c>
      <c r="D6" s="1">
        <v>0</v>
      </c>
      <c r="E6" s="1">
        <v>0</v>
      </c>
      <c r="F6" s="2"/>
      <c r="G6" s="2"/>
      <c r="H6" s="2"/>
      <c r="I6" s="2"/>
      <c r="J6" s="9">
        <v>16</v>
      </c>
      <c r="K6" s="1">
        <v>0</v>
      </c>
      <c r="L6" s="1">
        <v>0</v>
      </c>
      <c r="M6" s="1">
        <v>0</v>
      </c>
      <c r="N6" s="1">
        <v>0</v>
      </c>
      <c r="O6" s="2"/>
      <c r="P6" s="2"/>
      <c r="Q6" s="1">
        <v>0</v>
      </c>
      <c r="R6" s="1">
        <v>0</v>
      </c>
      <c r="S6" s="1">
        <v>0</v>
      </c>
      <c r="T6" s="1">
        <v>0</v>
      </c>
      <c r="U6" s="1">
        <v>0</v>
      </c>
      <c r="V6" s="2"/>
      <c r="W6" s="2"/>
      <c r="X6" s="1">
        <v>0</v>
      </c>
      <c r="Y6" s="1">
        <v>0</v>
      </c>
      <c r="Z6" s="1">
        <v>0</v>
      </c>
      <c r="AA6" s="1">
        <v>0</v>
      </c>
      <c r="AB6" s="1">
        <v>2</v>
      </c>
      <c r="AC6" s="2"/>
      <c r="AD6" s="2"/>
      <c r="AE6" s="1">
        <v>0</v>
      </c>
      <c r="AF6" s="1">
        <v>0</v>
      </c>
      <c r="AG6" s="1">
        <v>0</v>
      </c>
    </row>
    <row r="7" spans="1:33">
      <c r="A7" s="1">
        <v>5</v>
      </c>
      <c r="B7" s="1" t="s">
        <v>7</v>
      </c>
      <c r="C7" s="1">
        <f t="shared" si="0"/>
        <v>8</v>
      </c>
      <c r="D7" s="1">
        <v>0</v>
      </c>
      <c r="E7" s="1">
        <v>0</v>
      </c>
      <c r="F7" s="2"/>
      <c r="G7" s="2"/>
      <c r="H7" s="2"/>
      <c r="I7" s="2"/>
      <c r="J7" s="1">
        <v>8</v>
      </c>
      <c r="K7" s="1">
        <v>0</v>
      </c>
      <c r="L7" s="1">
        <v>0</v>
      </c>
      <c r="M7" s="1">
        <v>0</v>
      </c>
      <c r="N7" s="1">
        <v>0</v>
      </c>
      <c r="O7" s="2"/>
      <c r="P7" s="2"/>
      <c r="Q7" s="1">
        <v>0</v>
      </c>
      <c r="R7" s="1">
        <v>0</v>
      </c>
      <c r="S7" s="1">
        <v>0</v>
      </c>
      <c r="T7" s="1">
        <v>0</v>
      </c>
      <c r="U7" s="1">
        <v>0</v>
      </c>
      <c r="V7" s="2"/>
      <c r="W7" s="2"/>
      <c r="X7" s="1">
        <v>0</v>
      </c>
      <c r="Y7" s="1">
        <v>0</v>
      </c>
      <c r="Z7" s="1">
        <v>0</v>
      </c>
      <c r="AA7" s="1">
        <v>0</v>
      </c>
      <c r="AB7" s="1">
        <v>0</v>
      </c>
      <c r="AC7" s="2"/>
      <c r="AD7" s="2"/>
      <c r="AE7" s="1">
        <v>0</v>
      </c>
      <c r="AF7" s="1">
        <v>0</v>
      </c>
      <c r="AG7" s="1">
        <v>0</v>
      </c>
    </row>
    <row r="8" spans="1:33">
      <c r="A8" s="1">
        <v>6</v>
      </c>
      <c r="B8" s="1" t="s">
        <v>8</v>
      </c>
      <c r="C8" s="1">
        <f t="shared" si="0"/>
        <v>6</v>
      </c>
      <c r="D8" s="1">
        <v>0</v>
      </c>
      <c r="E8" s="1">
        <v>0</v>
      </c>
      <c r="F8" s="2"/>
      <c r="G8" s="2"/>
      <c r="H8" s="2"/>
      <c r="I8" s="2"/>
      <c r="J8" s="1">
        <v>0</v>
      </c>
      <c r="K8" s="1">
        <v>0</v>
      </c>
      <c r="L8" s="1">
        <v>0</v>
      </c>
      <c r="M8" s="1">
        <v>0</v>
      </c>
      <c r="N8" s="1">
        <v>0</v>
      </c>
      <c r="O8" s="2"/>
      <c r="P8" s="2"/>
      <c r="Q8" s="1">
        <v>0</v>
      </c>
      <c r="R8" s="1">
        <v>0</v>
      </c>
      <c r="S8" s="1">
        <v>0</v>
      </c>
      <c r="T8" s="1">
        <v>0</v>
      </c>
      <c r="U8" s="1">
        <v>0</v>
      </c>
      <c r="V8" s="2"/>
      <c r="W8" s="2"/>
      <c r="X8" s="1">
        <v>0</v>
      </c>
      <c r="Y8" s="1">
        <v>0</v>
      </c>
      <c r="Z8" s="1">
        <v>0</v>
      </c>
      <c r="AA8" s="1">
        <v>0</v>
      </c>
      <c r="AB8" s="1">
        <v>0</v>
      </c>
      <c r="AC8" s="2"/>
      <c r="AD8" s="2"/>
      <c r="AE8" s="1">
        <v>0</v>
      </c>
      <c r="AF8" s="1">
        <v>0</v>
      </c>
      <c r="AG8" s="1">
        <v>6</v>
      </c>
    </row>
    <row r="9" spans="1:33">
      <c r="A9" s="1">
        <v>7</v>
      </c>
      <c r="B9" s="1" t="s">
        <v>9</v>
      </c>
      <c r="C9" s="1">
        <f t="shared" si="0"/>
        <v>33</v>
      </c>
      <c r="D9" s="1">
        <v>0</v>
      </c>
      <c r="E9" s="1">
        <v>0</v>
      </c>
      <c r="F9" s="2"/>
      <c r="G9" s="2"/>
      <c r="H9" s="2"/>
      <c r="I9" s="2"/>
      <c r="J9" s="9">
        <v>16</v>
      </c>
      <c r="K9" s="1">
        <v>0</v>
      </c>
      <c r="L9" s="1">
        <v>0</v>
      </c>
      <c r="M9" s="1">
        <v>0</v>
      </c>
      <c r="N9" s="1">
        <v>0</v>
      </c>
      <c r="O9" s="2"/>
      <c r="P9" s="2"/>
      <c r="Q9" s="1">
        <v>0</v>
      </c>
      <c r="R9" s="1">
        <v>0</v>
      </c>
      <c r="S9" s="1">
        <v>16</v>
      </c>
      <c r="T9" s="1">
        <v>0</v>
      </c>
      <c r="U9" s="1">
        <v>1</v>
      </c>
      <c r="V9" s="2"/>
      <c r="W9" s="2"/>
      <c r="X9" s="1">
        <v>0</v>
      </c>
      <c r="Y9" s="1">
        <v>0</v>
      </c>
      <c r="Z9" s="1">
        <v>0</v>
      </c>
      <c r="AA9" s="1">
        <v>0</v>
      </c>
      <c r="AB9" s="1">
        <v>0</v>
      </c>
      <c r="AC9" s="2"/>
      <c r="AD9" s="2"/>
      <c r="AE9" s="1">
        <v>0</v>
      </c>
      <c r="AF9" s="1">
        <v>0</v>
      </c>
      <c r="AG9" s="1">
        <v>0</v>
      </c>
    </row>
    <row r="10" spans="1:33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2"/>
      <c r="G10" s="2"/>
      <c r="H10" s="2"/>
      <c r="I10" s="2"/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2"/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/>
      <c r="W10" s="2"/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2"/>
      <c r="AD10" s="2"/>
      <c r="AE10" s="1">
        <v>0</v>
      </c>
      <c r="AF10" s="1">
        <v>0</v>
      </c>
      <c r="AG10" s="1">
        <v>0</v>
      </c>
    </row>
    <row r="11" spans="1:33">
      <c r="A11" s="1">
        <v>9</v>
      </c>
      <c r="B11" s="1" t="s">
        <v>11</v>
      </c>
      <c r="C11" s="1">
        <f t="shared" si="0"/>
        <v>20</v>
      </c>
      <c r="D11" s="1">
        <v>0</v>
      </c>
      <c r="E11" s="1">
        <v>0</v>
      </c>
      <c r="F11" s="2"/>
      <c r="G11" s="2"/>
      <c r="H11" s="2"/>
      <c r="I11" s="2"/>
      <c r="J11" s="1">
        <v>4</v>
      </c>
      <c r="K11" s="1">
        <v>0</v>
      </c>
      <c r="L11" s="1">
        <v>0</v>
      </c>
      <c r="M11" s="1">
        <v>0</v>
      </c>
      <c r="N11" s="1">
        <v>0</v>
      </c>
      <c r="O11" s="2"/>
      <c r="P11" s="2"/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2"/>
      <c r="W11" s="2"/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2"/>
      <c r="AD11" s="2"/>
      <c r="AE11" s="1">
        <v>0</v>
      </c>
      <c r="AF11" s="1">
        <v>0</v>
      </c>
      <c r="AG11" s="2">
        <v>16</v>
      </c>
    </row>
    <row r="12" spans="1:33">
      <c r="A12" s="1">
        <v>10</v>
      </c>
      <c r="B12" s="1" t="s">
        <v>12</v>
      </c>
      <c r="C12" s="1">
        <f t="shared" si="0"/>
        <v>16</v>
      </c>
      <c r="D12" s="1">
        <v>0</v>
      </c>
      <c r="E12" s="1">
        <v>0</v>
      </c>
      <c r="F12" s="2"/>
      <c r="G12" s="2"/>
      <c r="H12" s="2"/>
      <c r="I12" s="2"/>
      <c r="J12" s="9">
        <v>16</v>
      </c>
      <c r="K12" s="1">
        <v>0</v>
      </c>
      <c r="L12" s="1">
        <v>0</v>
      </c>
      <c r="M12" s="1">
        <v>0</v>
      </c>
      <c r="N12" s="1">
        <v>0</v>
      </c>
      <c r="O12" s="2"/>
      <c r="P12" s="2"/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2"/>
      <c r="W12" s="2"/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2"/>
      <c r="AD12" s="2"/>
      <c r="AE12" s="1">
        <v>0</v>
      </c>
      <c r="AF12" s="1">
        <v>0</v>
      </c>
      <c r="AG12" s="1">
        <v>0</v>
      </c>
    </row>
    <row r="13" spans="1:33">
      <c r="A13" s="1">
        <v>11</v>
      </c>
      <c r="B13" s="1" t="s">
        <v>13</v>
      </c>
      <c r="C13" s="1">
        <f t="shared" si="0"/>
        <v>32</v>
      </c>
      <c r="D13" s="1">
        <v>0</v>
      </c>
      <c r="E13" s="1">
        <v>0</v>
      </c>
      <c r="F13" s="2"/>
      <c r="G13" s="2"/>
      <c r="H13" s="2"/>
      <c r="I13" s="2"/>
      <c r="J13" s="9">
        <v>16</v>
      </c>
      <c r="K13" s="1">
        <v>0</v>
      </c>
      <c r="L13" s="1">
        <v>0</v>
      </c>
      <c r="M13" s="1">
        <v>0</v>
      </c>
      <c r="N13" s="1">
        <v>0</v>
      </c>
      <c r="O13" s="2"/>
      <c r="P13" s="2"/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2"/>
      <c r="W13" s="2"/>
      <c r="X13" s="1">
        <v>16</v>
      </c>
      <c r="Y13" s="1">
        <v>0</v>
      </c>
      <c r="Z13" s="1">
        <v>0</v>
      </c>
      <c r="AA13" s="1">
        <v>0</v>
      </c>
      <c r="AB13" s="1">
        <v>0</v>
      </c>
      <c r="AC13" s="2"/>
      <c r="AD13" s="2"/>
      <c r="AE13" s="1">
        <v>0</v>
      </c>
      <c r="AF13" s="1">
        <v>0</v>
      </c>
      <c r="AG13" s="1">
        <v>0</v>
      </c>
    </row>
    <row r="14" spans="1:33">
      <c r="A14" s="1">
        <v>12</v>
      </c>
      <c r="B14" s="1" t="s">
        <v>14</v>
      </c>
      <c r="C14" s="1">
        <f t="shared" si="0"/>
        <v>16</v>
      </c>
      <c r="D14" s="1">
        <v>0</v>
      </c>
      <c r="E14" s="1">
        <v>0</v>
      </c>
      <c r="F14" s="2"/>
      <c r="G14" s="2"/>
      <c r="H14" s="2"/>
      <c r="I14" s="2"/>
      <c r="J14" s="9">
        <v>16</v>
      </c>
      <c r="K14" s="1">
        <v>0</v>
      </c>
      <c r="L14" s="1">
        <v>0</v>
      </c>
      <c r="M14" s="1">
        <v>0</v>
      </c>
      <c r="N14" s="1">
        <v>0</v>
      </c>
      <c r="O14" s="2"/>
      <c r="P14" s="2"/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/>
      <c r="W14" s="2"/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2"/>
      <c r="AD14" s="2"/>
      <c r="AE14" s="1">
        <v>0</v>
      </c>
      <c r="AF14" s="1">
        <v>0</v>
      </c>
      <c r="AG14" s="1">
        <v>0</v>
      </c>
    </row>
    <row r="15" spans="1:33">
      <c r="A15" s="1">
        <v>13</v>
      </c>
      <c r="B15" s="1" t="s">
        <v>16</v>
      </c>
      <c r="C15" s="1">
        <f t="shared" si="0"/>
        <v>16</v>
      </c>
      <c r="D15" s="1">
        <v>0</v>
      </c>
      <c r="E15" s="1">
        <v>0</v>
      </c>
      <c r="F15" s="2"/>
      <c r="G15" s="2"/>
      <c r="H15" s="2"/>
      <c r="I15" s="2"/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2"/>
      <c r="P15" s="2"/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2"/>
      <c r="W15" s="2"/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2"/>
      <c r="AD15" s="2"/>
      <c r="AE15" s="1">
        <v>0</v>
      </c>
      <c r="AF15" s="1">
        <v>0</v>
      </c>
      <c r="AG15" s="2">
        <v>16</v>
      </c>
    </row>
    <row r="16" spans="1:33">
      <c r="A16" s="1">
        <v>14</v>
      </c>
      <c r="B16" s="1" t="s">
        <v>60</v>
      </c>
      <c r="C16" s="1">
        <f t="shared" si="0"/>
        <v>32</v>
      </c>
      <c r="D16" s="1">
        <v>0</v>
      </c>
      <c r="E16" s="1">
        <v>16</v>
      </c>
      <c r="F16" s="2"/>
      <c r="G16" s="2"/>
      <c r="H16" s="2"/>
      <c r="I16" s="2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2"/>
      <c r="P16" s="2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/>
      <c r="W16" s="2"/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2"/>
      <c r="AD16" s="2"/>
      <c r="AE16" s="1">
        <v>0</v>
      </c>
      <c r="AF16" s="1">
        <v>0</v>
      </c>
      <c r="AG16" s="2">
        <v>16</v>
      </c>
    </row>
    <row r="17" spans="1:33">
      <c r="A17" s="1">
        <v>15</v>
      </c>
      <c r="B17" s="1" t="s">
        <v>66</v>
      </c>
      <c r="C17" s="1">
        <f t="shared" si="0"/>
        <v>0</v>
      </c>
      <c r="D17" s="1">
        <v>0</v>
      </c>
      <c r="E17" s="1">
        <v>0</v>
      </c>
      <c r="F17" s="2"/>
      <c r="G17" s="2"/>
      <c r="H17" s="2"/>
      <c r="I17" s="2"/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2"/>
      <c r="P17" s="2"/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2"/>
      <c r="W17" s="2"/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/>
      <c r="AD17" s="2"/>
      <c r="AE17" s="1">
        <v>0</v>
      </c>
      <c r="AF17" s="1">
        <v>0</v>
      </c>
      <c r="AG17" s="1">
        <v>0</v>
      </c>
    </row>
    <row r="18" spans="1:33">
      <c r="A18" s="1">
        <v>16</v>
      </c>
      <c r="B18" s="1" t="s">
        <v>87</v>
      </c>
      <c r="C18" s="1">
        <f t="shared" si="0"/>
        <v>0</v>
      </c>
      <c r="D18" s="1">
        <v>0</v>
      </c>
      <c r="E18" s="1">
        <v>0</v>
      </c>
      <c r="F18" s="2"/>
      <c r="G18" s="2"/>
      <c r="H18" s="2"/>
      <c r="I18" s="2"/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2"/>
      <c r="P18" s="2"/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2"/>
      <c r="W18" s="2"/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/>
      <c r="AD18" s="2"/>
      <c r="AE18" s="1">
        <v>0</v>
      </c>
      <c r="AF18" s="1">
        <v>0</v>
      </c>
      <c r="AG18" s="1">
        <v>0</v>
      </c>
    </row>
    <row r="19" spans="1:33">
      <c r="A19" s="1">
        <v>17</v>
      </c>
      <c r="B19" s="1" t="s">
        <v>104</v>
      </c>
      <c r="C19" s="1">
        <f t="shared" si="0"/>
        <v>8</v>
      </c>
      <c r="D19" s="1">
        <v>0</v>
      </c>
      <c r="E19" s="1">
        <v>0</v>
      </c>
      <c r="F19" s="2"/>
      <c r="G19" s="2"/>
      <c r="H19" s="2"/>
      <c r="I19" s="2"/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2"/>
      <c r="P19" s="2"/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2"/>
      <c r="W19" s="2"/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2"/>
      <c r="AD19" s="2"/>
      <c r="AE19" s="1">
        <v>0</v>
      </c>
      <c r="AF19" s="1">
        <v>8</v>
      </c>
      <c r="AG19" s="1">
        <v>0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9">
    <cfRule type="duplicateValues" dxfId="43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G19"/>
  <sheetViews>
    <sheetView workbookViewId="0">
      <selection activeCell="L31" sqref="L31"/>
    </sheetView>
  </sheetViews>
  <sheetFormatPr baseColWidth="10" defaultColWidth="8.83203125" defaultRowHeight="15"/>
  <cols>
    <col min="3" max="3" width="15.33203125" customWidth="1"/>
    <col min="4" max="17" width="8.83203125" customWidth="1"/>
    <col min="18" max="18" width="7.83203125" customWidth="1"/>
    <col min="19" max="33" width="8.83203125" customWidth="1"/>
    <col min="35" max="35" width="0" hidden="1" customWidth="1"/>
  </cols>
  <sheetData>
    <row r="1" spans="1:33" ht="27">
      <c r="A1" s="73" t="s">
        <v>19</v>
      </c>
      <c r="B1" s="73"/>
      <c r="C1" s="64" t="s">
        <v>36</v>
      </c>
      <c r="D1" s="68">
        <v>45383</v>
      </c>
      <c r="E1" s="68">
        <v>45384</v>
      </c>
      <c r="F1" s="68">
        <v>45385</v>
      </c>
      <c r="G1" s="68">
        <v>45386</v>
      </c>
      <c r="H1" s="68">
        <v>45387</v>
      </c>
      <c r="I1" s="68">
        <v>45388</v>
      </c>
      <c r="J1" s="68">
        <v>45389</v>
      </c>
      <c r="K1" s="68">
        <v>45390</v>
      </c>
      <c r="L1" s="68">
        <v>45391</v>
      </c>
      <c r="M1" s="68">
        <v>45392</v>
      </c>
      <c r="N1" s="68">
        <v>45393</v>
      </c>
      <c r="O1" s="68">
        <v>45394</v>
      </c>
      <c r="P1" s="68">
        <v>45395</v>
      </c>
      <c r="Q1" s="68">
        <v>45396</v>
      </c>
      <c r="R1" s="68">
        <v>45397</v>
      </c>
      <c r="S1" s="68">
        <v>45398</v>
      </c>
      <c r="T1" s="68">
        <v>45399</v>
      </c>
      <c r="U1" s="68">
        <v>45400</v>
      </c>
      <c r="V1" s="68">
        <v>45401</v>
      </c>
      <c r="W1" s="68">
        <v>45402</v>
      </c>
      <c r="X1" s="68">
        <v>45403</v>
      </c>
      <c r="Y1" s="68">
        <v>45404</v>
      </c>
      <c r="Z1" s="68">
        <v>45405</v>
      </c>
      <c r="AA1" s="68">
        <v>45406</v>
      </c>
      <c r="AB1" s="68">
        <v>45407</v>
      </c>
      <c r="AC1" s="68">
        <v>45408</v>
      </c>
      <c r="AD1" s="68">
        <v>45409</v>
      </c>
      <c r="AE1" s="68">
        <v>45410</v>
      </c>
      <c r="AF1" s="68">
        <v>45411</v>
      </c>
      <c r="AG1" s="68">
        <v>45412</v>
      </c>
    </row>
    <row r="2" spans="1:33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>
      <c r="A3" s="1">
        <v>1</v>
      </c>
      <c r="B3" s="27" t="s">
        <v>3</v>
      </c>
      <c r="C3" s="1">
        <f t="shared" ref="C3:C19" si="0">SUM(D3:AG3)</f>
        <v>0</v>
      </c>
      <c r="D3" s="1">
        <v>0</v>
      </c>
      <c r="E3" s="1">
        <v>0</v>
      </c>
      <c r="F3" s="2"/>
      <c r="G3" s="2"/>
      <c r="H3" s="2"/>
      <c r="I3" s="2"/>
      <c r="J3" s="1">
        <v>0</v>
      </c>
      <c r="K3" s="1">
        <v>0</v>
      </c>
      <c r="L3" s="1">
        <v>0</v>
      </c>
      <c r="M3" s="1">
        <v>0</v>
      </c>
      <c r="N3" s="1">
        <v>0</v>
      </c>
      <c r="O3" s="2"/>
      <c r="P3" s="2"/>
      <c r="Q3" s="1">
        <v>0</v>
      </c>
      <c r="R3" s="1">
        <v>0</v>
      </c>
      <c r="S3" s="1">
        <v>0</v>
      </c>
      <c r="T3" s="1">
        <v>0</v>
      </c>
      <c r="U3" s="1">
        <v>0</v>
      </c>
      <c r="V3" s="2"/>
      <c r="W3" s="2"/>
      <c r="X3" s="1">
        <v>0</v>
      </c>
      <c r="Y3" s="1">
        <v>0</v>
      </c>
      <c r="Z3" s="1">
        <v>0</v>
      </c>
      <c r="AA3" s="1">
        <v>0</v>
      </c>
      <c r="AB3" s="1">
        <v>0</v>
      </c>
      <c r="AC3" s="2"/>
      <c r="AD3" s="2"/>
      <c r="AE3" s="1">
        <v>0</v>
      </c>
      <c r="AF3" s="1">
        <v>0</v>
      </c>
      <c r="AG3" s="1">
        <v>0</v>
      </c>
    </row>
    <row r="4" spans="1:33">
      <c r="A4" s="1">
        <v>2</v>
      </c>
      <c r="B4" s="1" t="s">
        <v>4</v>
      </c>
      <c r="C4" s="1">
        <f t="shared" si="0"/>
        <v>17</v>
      </c>
      <c r="D4" s="1">
        <v>0</v>
      </c>
      <c r="E4" s="1">
        <v>0</v>
      </c>
      <c r="F4" s="2">
        <v>4</v>
      </c>
      <c r="G4" s="2">
        <v>4</v>
      </c>
      <c r="H4" s="2">
        <v>4</v>
      </c>
      <c r="I4" s="2"/>
      <c r="J4" s="1">
        <v>0</v>
      </c>
      <c r="K4" s="1">
        <v>0</v>
      </c>
      <c r="L4" s="1">
        <v>0</v>
      </c>
      <c r="M4" s="1">
        <v>0</v>
      </c>
      <c r="N4" s="1">
        <v>0</v>
      </c>
      <c r="O4" s="2"/>
      <c r="P4" s="2"/>
      <c r="Q4" s="1">
        <v>0</v>
      </c>
      <c r="R4" s="1">
        <v>2</v>
      </c>
      <c r="S4" s="1">
        <v>3</v>
      </c>
      <c r="T4" s="1">
        <v>0</v>
      </c>
      <c r="U4" s="1">
        <v>0</v>
      </c>
      <c r="V4" s="2"/>
      <c r="W4" s="2"/>
      <c r="X4" s="1">
        <v>0</v>
      </c>
      <c r="Y4" s="1">
        <v>0</v>
      </c>
      <c r="Z4" s="1">
        <v>0</v>
      </c>
      <c r="AA4" s="1">
        <v>0</v>
      </c>
      <c r="AB4" s="1">
        <v>0</v>
      </c>
      <c r="AC4" s="2"/>
      <c r="AD4" s="2"/>
      <c r="AE4" s="1">
        <v>0</v>
      </c>
      <c r="AF4" s="1">
        <v>0</v>
      </c>
      <c r="AG4" s="1">
        <v>0</v>
      </c>
    </row>
    <row r="5" spans="1:33">
      <c r="A5" s="1">
        <v>3</v>
      </c>
      <c r="B5" s="1" t="s">
        <v>5</v>
      </c>
      <c r="C5" s="1">
        <f t="shared" si="0"/>
        <v>2</v>
      </c>
      <c r="D5" s="1">
        <v>0</v>
      </c>
      <c r="E5" s="1">
        <v>0</v>
      </c>
      <c r="F5" s="2"/>
      <c r="G5" s="2"/>
      <c r="H5" s="2"/>
      <c r="I5" s="2"/>
      <c r="J5" s="1">
        <v>0</v>
      </c>
      <c r="K5" s="1">
        <v>2</v>
      </c>
      <c r="L5" s="1">
        <v>0</v>
      </c>
      <c r="M5" s="1">
        <v>0</v>
      </c>
      <c r="N5" s="1">
        <v>0</v>
      </c>
      <c r="O5" s="2"/>
      <c r="P5" s="2"/>
      <c r="Q5" s="1">
        <v>0</v>
      </c>
      <c r="R5" s="1">
        <v>0</v>
      </c>
      <c r="S5" s="1">
        <v>0</v>
      </c>
      <c r="T5" s="1">
        <v>0</v>
      </c>
      <c r="U5" s="1">
        <v>0</v>
      </c>
      <c r="V5" s="2"/>
      <c r="W5" s="2"/>
      <c r="X5" s="1">
        <v>0</v>
      </c>
      <c r="Y5" s="1">
        <v>0</v>
      </c>
      <c r="Z5" s="1">
        <v>0</v>
      </c>
      <c r="AA5" s="1">
        <v>0</v>
      </c>
      <c r="AB5" s="1">
        <v>0</v>
      </c>
      <c r="AC5" s="2"/>
      <c r="AD5" s="2"/>
      <c r="AE5" s="1">
        <v>0</v>
      </c>
      <c r="AF5" s="1">
        <v>0</v>
      </c>
      <c r="AG5" s="1">
        <v>0</v>
      </c>
    </row>
    <row r="6" spans="1:33">
      <c r="A6" s="1">
        <v>4</v>
      </c>
      <c r="B6" s="1" t="s">
        <v>6</v>
      </c>
      <c r="C6" s="1">
        <f t="shared" si="0"/>
        <v>55</v>
      </c>
      <c r="D6" s="1">
        <v>0</v>
      </c>
      <c r="E6" s="1">
        <v>2</v>
      </c>
      <c r="F6" s="10">
        <v>20</v>
      </c>
      <c r="G6" s="10">
        <v>20</v>
      </c>
      <c r="H6" s="2"/>
      <c r="I6" s="2"/>
      <c r="J6" s="1">
        <v>0</v>
      </c>
      <c r="K6" s="1">
        <v>1</v>
      </c>
      <c r="L6" s="1">
        <v>3</v>
      </c>
      <c r="M6" s="1">
        <v>3</v>
      </c>
      <c r="N6" s="1">
        <v>3</v>
      </c>
      <c r="O6" s="2"/>
      <c r="P6" s="2"/>
      <c r="Q6" s="1">
        <v>1</v>
      </c>
      <c r="R6" s="1">
        <v>0</v>
      </c>
      <c r="S6" s="1">
        <v>0</v>
      </c>
      <c r="T6" s="1">
        <v>0</v>
      </c>
      <c r="U6" s="1">
        <v>0</v>
      </c>
      <c r="V6" s="2"/>
      <c r="W6" s="2"/>
      <c r="X6" s="1">
        <v>0</v>
      </c>
      <c r="Y6" s="1">
        <v>0</v>
      </c>
      <c r="Z6" s="1">
        <v>0</v>
      </c>
      <c r="AA6" s="1">
        <v>0</v>
      </c>
      <c r="AB6" s="1">
        <v>2</v>
      </c>
      <c r="AC6" s="2"/>
      <c r="AD6" s="2"/>
      <c r="AE6" s="1">
        <v>0</v>
      </c>
      <c r="AF6" s="1">
        <v>0</v>
      </c>
      <c r="AG6" s="1">
        <v>0</v>
      </c>
    </row>
    <row r="7" spans="1:33">
      <c r="A7" s="1">
        <v>5</v>
      </c>
      <c r="B7" s="27" t="s">
        <v>7</v>
      </c>
      <c r="C7" s="1">
        <f t="shared" si="0"/>
        <v>2</v>
      </c>
      <c r="D7" s="1">
        <v>0</v>
      </c>
      <c r="E7" s="1">
        <v>0</v>
      </c>
      <c r="F7" s="2"/>
      <c r="G7" s="2"/>
      <c r="H7" s="2"/>
      <c r="I7" s="2"/>
      <c r="J7" s="1">
        <v>0</v>
      </c>
      <c r="K7" s="1">
        <v>0</v>
      </c>
      <c r="L7" s="1">
        <v>0</v>
      </c>
      <c r="M7" s="1">
        <v>0</v>
      </c>
      <c r="N7" s="1">
        <v>0</v>
      </c>
      <c r="O7" s="2"/>
      <c r="P7" s="2"/>
      <c r="Q7" s="1">
        <v>0</v>
      </c>
      <c r="R7" s="1">
        <v>2</v>
      </c>
      <c r="S7" s="1">
        <v>0</v>
      </c>
      <c r="T7" s="1">
        <v>0</v>
      </c>
      <c r="U7" s="1">
        <v>0</v>
      </c>
      <c r="V7" s="2"/>
      <c r="W7" s="2"/>
      <c r="X7" s="1">
        <v>0</v>
      </c>
      <c r="Y7" s="1">
        <v>0</v>
      </c>
      <c r="Z7" s="1">
        <v>0</v>
      </c>
      <c r="AA7" s="1">
        <v>0</v>
      </c>
      <c r="AB7" s="1">
        <v>0</v>
      </c>
      <c r="AC7" s="2"/>
      <c r="AD7" s="2"/>
      <c r="AE7" s="1">
        <v>0</v>
      </c>
      <c r="AF7" s="1">
        <v>0</v>
      </c>
      <c r="AG7" s="1">
        <v>0</v>
      </c>
    </row>
    <row r="8" spans="1:33">
      <c r="A8" s="1">
        <v>6</v>
      </c>
      <c r="B8" s="27" t="s">
        <v>8</v>
      </c>
      <c r="C8" s="1">
        <f t="shared" si="0"/>
        <v>6</v>
      </c>
      <c r="D8" s="1">
        <v>0</v>
      </c>
      <c r="E8" s="1">
        <v>0</v>
      </c>
      <c r="F8" s="2"/>
      <c r="G8" s="2"/>
      <c r="H8" s="2"/>
      <c r="I8" s="2"/>
      <c r="J8" s="1">
        <v>0</v>
      </c>
      <c r="K8" s="1">
        <v>0</v>
      </c>
      <c r="L8" s="1">
        <v>0</v>
      </c>
      <c r="M8" s="1">
        <v>0</v>
      </c>
      <c r="N8" s="1">
        <v>0</v>
      </c>
      <c r="O8" s="2"/>
      <c r="P8" s="2"/>
      <c r="Q8" s="1">
        <v>0</v>
      </c>
      <c r="R8" s="1">
        <v>2</v>
      </c>
      <c r="S8" s="1">
        <v>0</v>
      </c>
      <c r="T8" s="1">
        <v>0</v>
      </c>
      <c r="U8" s="1">
        <v>0</v>
      </c>
      <c r="V8" s="2"/>
      <c r="W8" s="2"/>
      <c r="X8" s="1">
        <v>4</v>
      </c>
      <c r="Y8" s="1">
        <v>0</v>
      </c>
      <c r="Z8" s="1">
        <v>0</v>
      </c>
      <c r="AA8" s="1">
        <v>0</v>
      </c>
      <c r="AB8" s="1">
        <v>0</v>
      </c>
      <c r="AC8" s="2"/>
      <c r="AD8" s="2"/>
      <c r="AE8" s="1">
        <v>0</v>
      </c>
      <c r="AF8" s="1">
        <v>0</v>
      </c>
      <c r="AG8" s="1">
        <v>0</v>
      </c>
    </row>
    <row r="9" spans="1:33">
      <c r="A9" s="1">
        <v>7</v>
      </c>
      <c r="B9" s="1" t="s">
        <v>9</v>
      </c>
      <c r="C9" s="1">
        <f t="shared" si="0"/>
        <v>54</v>
      </c>
      <c r="D9" s="1">
        <v>0</v>
      </c>
      <c r="E9" s="1">
        <v>4</v>
      </c>
      <c r="F9" s="10">
        <v>20</v>
      </c>
      <c r="G9" s="10">
        <v>20</v>
      </c>
      <c r="H9" s="2"/>
      <c r="I9" s="2"/>
      <c r="J9" s="1">
        <v>0</v>
      </c>
      <c r="K9" s="1">
        <v>1</v>
      </c>
      <c r="L9" s="1">
        <v>3</v>
      </c>
      <c r="M9" s="1">
        <v>3</v>
      </c>
      <c r="N9" s="1">
        <v>3</v>
      </c>
      <c r="O9" s="2"/>
      <c r="P9" s="2"/>
      <c r="Q9" s="1">
        <v>0</v>
      </c>
      <c r="R9" s="1">
        <v>0</v>
      </c>
      <c r="S9" s="1">
        <v>0</v>
      </c>
      <c r="T9" s="1">
        <v>0</v>
      </c>
      <c r="U9" s="1">
        <v>0</v>
      </c>
      <c r="V9" s="2"/>
      <c r="W9" s="2"/>
      <c r="X9" s="1">
        <v>0</v>
      </c>
      <c r="Y9" s="1">
        <v>0</v>
      </c>
      <c r="Z9" s="1">
        <v>0</v>
      </c>
      <c r="AA9" s="1">
        <v>0</v>
      </c>
      <c r="AB9" s="1">
        <v>0</v>
      </c>
      <c r="AC9" s="2"/>
      <c r="AD9" s="2"/>
      <c r="AE9" s="1">
        <v>0</v>
      </c>
      <c r="AF9" s="1">
        <v>0</v>
      </c>
      <c r="AG9" s="1">
        <v>0</v>
      </c>
    </row>
    <row r="10" spans="1:33">
      <c r="A10" s="1">
        <v>8</v>
      </c>
      <c r="B10" s="27" t="s">
        <v>10</v>
      </c>
      <c r="C10" s="1">
        <f t="shared" si="0"/>
        <v>0</v>
      </c>
      <c r="D10" s="1">
        <v>0</v>
      </c>
      <c r="E10" s="1">
        <v>0</v>
      </c>
      <c r="F10" s="2"/>
      <c r="G10" s="2"/>
      <c r="H10" s="2"/>
      <c r="I10" s="2"/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2"/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/>
      <c r="W10" s="2"/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2"/>
      <c r="AD10" s="2"/>
      <c r="AE10" s="1">
        <v>0</v>
      </c>
      <c r="AF10" s="1">
        <v>0</v>
      </c>
      <c r="AG10" s="1">
        <v>0</v>
      </c>
    </row>
    <row r="11" spans="1:33">
      <c r="A11" s="1">
        <v>9</v>
      </c>
      <c r="B11" s="27" t="s">
        <v>11</v>
      </c>
      <c r="C11" s="1">
        <f t="shared" si="0"/>
        <v>12</v>
      </c>
      <c r="D11" s="1">
        <v>0</v>
      </c>
      <c r="E11" s="1">
        <v>0</v>
      </c>
      <c r="F11" s="2"/>
      <c r="G11" s="2"/>
      <c r="H11" s="2"/>
      <c r="I11" s="2"/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2"/>
      <c r="P11" s="2"/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2"/>
      <c r="W11" s="2"/>
      <c r="X11" s="1">
        <v>6</v>
      </c>
      <c r="Y11" s="1">
        <v>0</v>
      </c>
      <c r="Z11" s="1">
        <v>0</v>
      </c>
      <c r="AA11" s="1">
        <v>6</v>
      </c>
      <c r="AB11" s="1">
        <v>0</v>
      </c>
      <c r="AC11" s="2"/>
      <c r="AD11" s="2"/>
      <c r="AE11" s="1">
        <v>0</v>
      </c>
      <c r="AF11" s="1">
        <v>0</v>
      </c>
      <c r="AG11" s="1">
        <v>0</v>
      </c>
    </row>
    <row r="12" spans="1:33">
      <c r="A12" s="1">
        <v>10</v>
      </c>
      <c r="B12" s="1" t="s">
        <v>12</v>
      </c>
      <c r="C12" s="1">
        <f t="shared" si="0"/>
        <v>26</v>
      </c>
      <c r="D12" s="1">
        <v>0</v>
      </c>
      <c r="E12" s="1">
        <v>4</v>
      </c>
      <c r="F12" s="10"/>
      <c r="G12" s="10">
        <v>16</v>
      </c>
      <c r="H12" s="2"/>
      <c r="I12" s="2"/>
      <c r="J12" s="1">
        <v>0</v>
      </c>
      <c r="K12" s="1">
        <v>0</v>
      </c>
      <c r="L12" s="1">
        <v>3</v>
      </c>
      <c r="M12" s="1">
        <v>0</v>
      </c>
      <c r="N12" s="1">
        <v>3</v>
      </c>
      <c r="O12" s="2"/>
      <c r="P12" s="2"/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2"/>
      <c r="W12" s="2"/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2"/>
      <c r="AD12" s="2"/>
      <c r="AE12" s="1">
        <v>0</v>
      </c>
      <c r="AF12" s="1">
        <v>0</v>
      </c>
      <c r="AG12" s="1">
        <v>0</v>
      </c>
    </row>
    <row r="13" spans="1:33">
      <c r="A13" s="1">
        <v>11</v>
      </c>
      <c r="B13" s="1" t="s">
        <v>13</v>
      </c>
      <c r="C13" s="1">
        <f t="shared" si="0"/>
        <v>58</v>
      </c>
      <c r="D13" s="1">
        <v>0</v>
      </c>
      <c r="E13" s="1">
        <v>4</v>
      </c>
      <c r="F13" s="10">
        <v>20</v>
      </c>
      <c r="G13" s="10">
        <v>16</v>
      </c>
      <c r="H13" s="2"/>
      <c r="I13" s="2"/>
      <c r="J13" s="1">
        <v>0</v>
      </c>
      <c r="K13" s="1">
        <v>0</v>
      </c>
      <c r="L13" s="1">
        <v>3</v>
      </c>
      <c r="M13" s="1">
        <v>3</v>
      </c>
      <c r="N13" s="1">
        <v>3</v>
      </c>
      <c r="O13" s="2"/>
      <c r="P13" s="2"/>
      <c r="Q13" s="1">
        <v>3</v>
      </c>
      <c r="R13" s="1">
        <v>3</v>
      </c>
      <c r="S13" s="1">
        <v>3</v>
      </c>
      <c r="T13" s="1">
        <v>0</v>
      </c>
      <c r="U13" s="1">
        <v>0</v>
      </c>
      <c r="V13" s="2"/>
      <c r="W13" s="2"/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2"/>
      <c r="AD13" s="2"/>
      <c r="AE13" s="1">
        <v>0</v>
      </c>
      <c r="AF13" s="1">
        <v>0</v>
      </c>
      <c r="AG13" s="1">
        <v>0</v>
      </c>
    </row>
    <row r="14" spans="1:33">
      <c r="A14" s="1">
        <v>12</v>
      </c>
      <c r="B14" s="1" t="s">
        <v>14</v>
      </c>
      <c r="C14" s="1">
        <f t="shared" si="0"/>
        <v>42</v>
      </c>
      <c r="D14" s="1">
        <v>0</v>
      </c>
      <c r="E14" s="1">
        <v>4</v>
      </c>
      <c r="F14" s="10"/>
      <c r="G14" s="10">
        <v>16</v>
      </c>
      <c r="H14" s="2"/>
      <c r="I14" s="2"/>
      <c r="J14" s="1">
        <v>0</v>
      </c>
      <c r="K14" s="1">
        <v>1</v>
      </c>
      <c r="L14" s="1">
        <v>3</v>
      </c>
      <c r="M14" s="1">
        <v>3</v>
      </c>
      <c r="N14" s="1">
        <v>3</v>
      </c>
      <c r="O14" s="2"/>
      <c r="P14" s="2"/>
      <c r="Q14" s="1">
        <v>3</v>
      </c>
      <c r="R14" s="1">
        <v>3</v>
      </c>
      <c r="S14" s="1">
        <v>3</v>
      </c>
      <c r="T14" s="1">
        <v>0</v>
      </c>
      <c r="U14" s="1">
        <v>0</v>
      </c>
      <c r="V14" s="2"/>
      <c r="W14" s="2"/>
      <c r="X14" s="1">
        <v>3</v>
      </c>
      <c r="Y14" s="1">
        <v>0</v>
      </c>
      <c r="Z14" s="1">
        <v>0</v>
      </c>
      <c r="AA14" s="1">
        <v>0</v>
      </c>
      <c r="AB14" s="1">
        <v>0</v>
      </c>
      <c r="AC14" s="2"/>
      <c r="AD14" s="2"/>
      <c r="AE14" s="1">
        <v>0</v>
      </c>
      <c r="AF14" s="1">
        <v>0</v>
      </c>
      <c r="AG14" s="1">
        <v>0</v>
      </c>
    </row>
    <row r="15" spans="1:33">
      <c r="A15" s="1">
        <v>13</v>
      </c>
      <c r="B15" s="27" t="s">
        <v>16</v>
      </c>
      <c r="C15" s="1">
        <f t="shared" si="0"/>
        <v>0</v>
      </c>
      <c r="D15" s="1">
        <v>0</v>
      </c>
      <c r="E15" s="1">
        <v>0</v>
      </c>
      <c r="F15" s="2"/>
      <c r="G15" s="2"/>
      <c r="H15" s="2"/>
      <c r="I15" s="2"/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2"/>
      <c r="P15" s="2"/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2"/>
      <c r="W15" s="2"/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2"/>
      <c r="AD15" s="2"/>
      <c r="AE15" s="1">
        <v>0</v>
      </c>
      <c r="AF15" s="1">
        <v>0</v>
      </c>
      <c r="AG15" s="1">
        <v>0</v>
      </c>
    </row>
    <row r="16" spans="1:33">
      <c r="A16" s="1">
        <v>14</v>
      </c>
      <c r="B16" s="27" t="s">
        <v>60</v>
      </c>
      <c r="C16" s="1">
        <f t="shared" si="0"/>
        <v>12</v>
      </c>
      <c r="D16" s="1">
        <v>0</v>
      </c>
      <c r="E16" s="1">
        <v>0</v>
      </c>
      <c r="F16" s="2"/>
      <c r="G16" s="2"/>
      <c r="H16" s="2"/>
      <c r="I16" s="2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2"/>
      <c r="P16" s="2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/>
      <c r="W16" s="2"/>
      <c r="X16" s="1">
        <v>6</v>
      </c>
      <c r="Y16" s="1">
        <v>0</v>
      </c>
      <c r="Z16" s="1">
        <v>0</v>
      </c>
      <c r="AA16" s="1">
        <v>6</v>
      </c>
      <c r="AB16" s="1">
        <v>0</v>
      </c>
      <c r="AC16" s="2"/>
      <c r="AD16" s="2"/>
      <c r="AE16" s="1">
        <v>0</v>
      </c>
      <c r="AF16" s="1">
        <v>0</v>
      </c>
      <c r="AG16" s="1">
        <v>0</v>
      </c>
    </row>
    <row r="17" spans="1:33">
      <c r="A17" s="1">
        <v>15</v>
      </c>
      <c r="B17" s="1" t="s">
        <v>66</v>
      </c>
      <c r="C17" s="1">
        <f t="shared" si="0"/>
        <v>0</v>
      </c>
      <c r="D17" s="1">
        <v>0</v>
      </c>
      <c r="E17" s="1">
        <v>0</v>
      </c>
      <c r="F17" s="2"/>
      <c r="G17" s="2"/>
      <c r="H17" s="2"/>
      <c r="I17" s="2"/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2"/>
      <c r="P17" s="2"/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2"/>
      <c r="W17" s="2"/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/>
      <c r="AD17" s="2"/>
      <c r="AE17" s="1">
        <v>0</v>
      </c>
      <c r="AF17" s="1">
        <v>0</v>
      </c>
      <c r="AG17" s="1">
        <v>0</v>
      </c>
    </row>
    <row r="18" spans="1:33">
      <c r="A18" s="1">
        <v>16</v>
      </c>
      <c r="B18" s="27" t="s">
        <v>87</v>
      </c>
      <c r="C18" s="1">
        <f t="shared" si="0"/>
        <v>0</v>
      </c>
      <c r="D18" s="1">
        <v>0</v>
      </c>
      <c r="E18" s="1">
        <v>0</v>
      </c>
      <c r="F18" s="2"/>
      <c r="G18" s="2"/>
      <c r="H18" s="2"/>
      <c r="I18" s="2"/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2"/>
      <c r="P18" s="2"/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2"/>
      <c r="W18" s="2"/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/>
      <c r="AD18" s="2"/>
      <c r="AE18" s="1">
        <v>0</v>
      </c>
      <c r="AF18" s="1">
        <v>0</v>
      </c>
      <c r="AG18" s="1">
        <v>0</v>
      </c>
    </row>
    <row r="19" spans="1:33">
      <c r="A19" s="1">
        <v>17</v>
      </c>
      <c r="B19" s="1" t="s">
        <v>104</v>
      </c>
      <c r="C19" s="1">
        <f t="shared" si="0"/>
        <v>10</v>
      </c>
      <c r="D19" s="1">
        <v>0</v>
      </c>
      <c r="E19" s="1">
        <v>0</v>
      </c>
      <c r="F19" s="2">
        <v>3</v>
      </c>
      <c r="G19" s="2">
        <v>3</v>
      </c>
      <c r="H19" s="2">
        <v>4</v>
      </c>
      <c r="I19" s="2"/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2"/>
      <c r="P19" s="2"/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2"/>
      <c r="W19" s="2"/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2"/>
      <c r="AD19" s="2"/>
      <c r="AE19" s="1">
        <v>0</v>
      </c>
      <c r="AF19" s="1">
        <v>0</v>
      </c>
      <c r="AG19" s="1">
        <v>0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42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30"/>
  <sheetViews>
    <sheetView topLeftCell="Q1" zoomScaleNormal="100" workbookViewId="0">
      <selection activeCell="AH7" sqref="AH7"/>
    </sheetView>
  </sheetViews>
  <sheetFormatPr baseColWidth="10" defaultColWidth="8.83203125" defaultRowHeight="15"/>
  <cols>
    <col min="3" max="6" width="8.83203125" hidden="1" customWidth="1"/>
    <col min="7" max="33" width="8.83203125" customWidth="1"/>
  </cols>
  <sheetData>
    <row r="1" spans="1:33" ht="27">
      <c r="A1" s="70" t="s">
        <v>0</v>
      </c>
      <c r="B1" s="70"/>
      <c r="C1" s="68">
        <v>45413</v>
      </c>
      <c r="D1" s="68">
        <v>45414</v>
      </c>
      <c r="E1" s="68">
        <v>45415</v>
      </c>
      <c r="F1" s="68">
        <v>45416</v>
      </c>
      <c r="G1" s="68">
        <v>45417</v>
      </c>
      <c r="H1" s="68">
        <v>45418</v>
      </c>
      <c r="I1" s="68">
        <v>45419</v>
      </c>
      <c r="J1" s="68">
        <v>45420</v>
      </c>
      <c r="K1" s="68">
        <v>45421</v>
      </c>
      <c r="L1" s="68">
        <v>45422</v>
      </c>
      <c r="M1" s="68">
        <v>45423</v>
      </c>
      <c r="N1" s="68">
        <v>45424</v>
      </c>
      <c r="O1" s="68">
        <v>45425</v>
      </c>
      <c r="P1" s="68">
        <v>45426</v>
      </c>
      <c r="Q1" s="68">
        <v>45427</v>
      </c>
      <c r="R1" s="68">
        <v>45428</v>
      </c>
      <c r="S1" s="68">
        <v>45429</v>
      </c>
      <c r="T1" s="68">
        <v>45430</v>
      </c>
      <c r="U1" s="68">
        <v>45431</v>
      </c>
      <c r="V1" s="68">
        <v>45432</v>
      </c>
      <c r="W1" s="68">
        <v>45433</v>
      </c>
      <c r="X1" s="68">
        <v>45434</v>
      </c>
      <c r="Y1" s="68">
        <v>45435</v>
      </c>
      <c r="Z1" s="68">
        <v>45436</v>
      </c>
      <c r="AA1" s="68">
        <v>45437</v>
      </c>
      <c r="AB1" s="68">
        <v>45438</v>
      </c>
      <c r="AC1" s="68">
        <v>45439</v>
      </c>
      <c r="AD1" s="68">
        <v>45440</v>
      </c>
      <c r="AE1" s="68">
        <v>45441</v>
      </c>
      <c r="AF1" s="68">
        <v>45442</v>
      </c>
      <c r="AG1" s="68">
        <v>45443</v>
      </c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>
      <c r="A3" s="1">
        <v>1</v>
      </c>
      <c r="B3" s="28" t="s">
        <v>3</v>
      </c>
      <c r="C3" s="2"/>
      <c r="D3" s="4" t="s">
        <v>22</v>
      </c>
      <c r="E3" s="2"/>
      <c r="F3" s="2"/>
      <c r="G3" s="1" t="s">
        <v>130</v>
      </c>
      <c r="H3" s="1" t="s">
        <v>92</v>
      </c>
      <c r="I3" s="1" t="s">
        <v>92</v>
      </c>
      <c r="J3" s="1" t="s">
        <v>92</v>
      </c>
      <c r="K3" s="1" t="s">
        <v>92</v>
      </c>
      <c r="L3" s="2"/>
      <c r="M3" s="2"/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2"/>
      <c r="T3" s="2"/>
      <c r="U3" s="1" t="s">
        <v>92</v>
      </c>
      <c r="V3" s="1" t="s">
        <v>92</v>
      </c>
      <c r="W3" s="1" t="s">
        <v>92</v>
      </c>
      <c r="X3" s="1" t="s">
        <v>92</v>
      </c>
      <c r="Y3" s="1" t="s">
        <v>92</v>
      </c>
      <c r="Z3" s="2"/>
      <c r="AA3" s="2"/>
      <c r="AB3" s="1" t="s">
        <v>92</v>
      </c>
      <c r="AC3" s="1" t="s">
        <v>92</v>
      </c>
      <c r="AD3" s="1" t="s">
        <v>92</v>
      </c>
      <c r="AE3" s="1" t="s">
        <v>92</v>
      </c>
      <c r="AF3" s="2"/>
      <c r="AG3" s="2"/>
    </row>
    <row r="4" spans="1:33" ht="18">
      <c r="A4" s="1">
        <v>2</v>
      </c>
      <c r="B4" s="1" t="s">
        <v>4</v>
      </c>
      <c r="C4" s="2" t="s">
        <v>92</v>
      </c>
      <c r="D4" s="1" t="s">
        <v>92</v>
      </c>
      <c r="E4" s="2"/>
      <c r="F4" s="2"/>
      <c r="G4" s="1" t="s">
        <v>92</v>
      </c>
      <c r="H4" s="16" t="s">
        <v>25</v>
      </c>
      <c r="I4" s="16" t="s">
        <v>25</v>
      </c>
      <c r="J4" s="16" t="s">
        <v>25</v>
      </c>
      <c r="K4" s="16" t="s">
        <v>25</v>
      </c>
      <c r="L4" s="2"/>
      <c r="M4" s="2"/>
      <c r="N4" s="16" t="s">
        <v>25</v>
      </c>
      <c r="O4" s="16" t="s">
        <v>25</v>
      </c>
      <c r="P4" s="16" t="s">
        <v>25</v>
      </c>
      <c r="Q4" s="16" t="s">
        <v>25</v>
      </c>
      <c r="R4" s="16" t="s">
        <v>25</v>
      </c>
      <c r="S4" s="2"/>
      <c r="T4" s="2"/>
      <c r="U4" s="16" t="s">
        <v>25</v>
      </c>
      <c r="V4" s="16" t="s">
        <v>25</v>
      </c>
      <c r="W4" s="16" t="s">
        <v>25</v>
      </c>
      <c r="X4" s="16" t="s">
        <v>25</v>
      </c>
      <c r="Y4" s="16" t="s">
        <v>25</v>
      </c>
      <c r="Z4" s="2"/>
      <c r="AA4" s="2"/>
      <c r="AB4" s="16" t="s">
        <v>25</v>
      </c>
      <c r="AC4" s="16" t="s">
        <v>25</v>
      </c>
      <c r="AD4" s="16" t="s">
        <v>25</v>
      </c>
      <c r="AE4" s="16" t="s">
        <v>25</v>
      </c>
      <c r="AF4" s="2"/>
      <c r="AG4" s="2"/>
    </row>
    <row r="5" spans="1:33" ht="18">
      <c r="A5" s="1">
        <v>3</v>
      </c>
      <c r="B5" s="1" t="s">
        <v>5</v>
      </c>
      <c r="C5" s="2"/>
      <c r="D5" s="1" t="s">
        <v>62</v>
      </c>
      <c r="E5" s="2"/>
      <c r="F5" s="2"/>
      <c r="G5" s="16" t="s">
        <v>25</v>
      </c>
      <c r="H5" s="16" t="s">
        <v>25</v>
      </c>
      <c r="I5" s="16" t="s">
        <v>25</v>
      </c>
      <c r="J5" s="16" t="s">
        <v>25</v>
      </c>
      <c r="K5" s="16" t="s">
        <v>25</v>
      </c>
      <c r="L5" s="2"/>
      <c r="M5" s="2"/>
      <c r="N5" s="16" t="s">
        <v>25</v>
      </c>
      <c r="O5" s="16" t="s">
        <v>25</v>
      </c>
      <c r="P5" s="16" t="s">
        <v>25</v>
      </c>
      <c r="Q5" s="16" t="s">
        <v>25</v>
      </c>
      <c r="R5" s="1" t="s">
        <v>133</v>
      </c>
      <c r="S5" s="2"/>
      <c r="T5" s="2"/>
      <c r="U5" s="1" t="s">
        <v>133</v>
      </c>
      <c r="V5" s="16" t="s">
        <v>25</v>
      </c>
      <c r="W5" s="16" t="s">
        <v>25</v>
      </c>
      <c r="X5" s="16" t="s">
        <v>25</v>
      </c>
      <c r="Y5" s="16" t="s">
        <v>25</v>
      </c>
      <c r="Z5" s="2"/>
      <c r="AA5" s="2"/>
      <c r="AB5" s="16" t="s">
        <v>25</v>
      </c>
      <c r="AC5" s="16" t="s">
        <v>25</v>
      </c>
      <c r="AD5" s="16" t="s">
        <v>25</v>
      </c>
      <c r="AE5" s="16" t="s">
        <v>25</v>
      </c>
      <c r="AF5" s="2"/>
      <c r="AG5" s="2"/>
    </row>
    <row r="6" spans="1:33" ht="18">
      <c r="A6" s="1">
        <v>4</v>
      </c>
      <c r="B6" s="28" t="s">
        <v>6</v>
      </c>
      <c r="C6" s="2"/>
      <c r="D6" s="16" t="s">
        <v>25</v>
      </c>
      <c r="E6" s="2"/>
      <c r="F6" s="2"/>
      <c r="G6" s="16" t="s">
        <v>25</v>
      </c>
      <c r="H6" s="16" t="s">
        <v>25</v>
      </c>
      <c r="I6" s="16" t="s">
        <v>25</v>
      </c>
      <c r="J6" s="16" t="s">
        <v>25</v>
      </c>
      <c r="K6" s="16" t="s">
        <v>25</v>
      </c>
      <c r="L6" s="2"/>
      <c r="M6" s="2"/>
      <c r="N6" s="16" t="s">
        <v>25</v>
      </c>
      <c r="O6" s="16" t="s">
        <v>25</v>
      </c>
      <c r="P6" s="16" t="s">
        <v>25</v>
      </c>
      <c r="Q6" s="16" t="s">
        <v>25</v>
      </c>
      <c r="R6" s="1" t="s">
        <v>133</v>
      </c>
      <c r="S6" s="2"/>
      <c r="T6" s="2"/>
      <c r="U6" s="1" t="s">
        <v>92</v>
      </c>
      <c r="V6" s="16" t="s">
        <v>25</v>
      </c>
      <c r="W6" s="16" t="s">
        <v>25</v>
      </c>
      <c r="X6" s="1" t="s">
        <v>132</v>
      </c>
      <c r="Y6" s="1" t="s">
        <v>92</v>
      </c>
      <c r="Z6" s="10"/>
      <c r="AA6" s="2"/>
      <c r="AB6" s="1" t="s">
        <v>92</v>
      </c>
      <c r="AC6" s="1" t="s">
        <v>92</v>
      </c>
      <c r="AD6" s="1" t="s">
        <v>92</v>
      </c>
      <c r="AE6" s="1" t="s">
        <v>92</v>
      </c>
      <c r="AF6" s="2"/>
      <c r="AG6" s="2"/>
    </row>
    <row r="7" spans="1:33" ht="18">
      <c r="A7" s="1">
        <v>5</v>
      </c>
      <c r="B7" s="28" t="s">
        <v>7</v>
      </c>
      <c r="C7" s="2"/>
      <c r="D7" s="16" t="s">
        <v>25</v>
      </c>
      <c r="E7" s="2"/>
      <c r="F7" s="2"/>
      <c r="G7" s="1" t="s">
        <v>130</v>
      </c>
      <c r="H7" s="1" t="s">
        <v>92</v>
      </c>
      <c r="I7" s="1" t="s">
        <v>92</v>
      </c>
      <c r="J7" s="1" t="s">
        <v>92</v>
      </c>
      <c r="K7" s="1" t="s">
        <v>92</v>
      </c>
      <c r="L7" s="2"/>
      <c r="M7" s="2"/>
      <c r="N7" s="1" t="s">
        <v>92</v>
      </c>
      <c r="O7" s="1" t="s">
        <v>92</v>
      </c>
      <c r="P7" s="1" t="s">
        <v>92</v>
      </c>
      <c r="Q7" s="1" t="s">
        <v>92</v>
      </c>
      <c r="R7" s="1" t="s">
        <v>92</v>
      </c>
      <c r="S7" s="2"/>
      <c r="T7" s="2"/>
      <c r="U7" s="1" t="s">
        <v>92</v>
      </c>
      <c r="V7" s="1" t="s">
        <v>92</v>
      </c>
      <c r="W7" s="1" t="s">
        <v>92</v>
      </c>
      <c r="X7" s="1" t="s">
        <v>92</v>
      </c>
      <c r="Y7" s="1" t="s">
        <v>92</v>
      </c>
      <c r="Z7" s="10"/>
      <c r="AA7" s="2"/>
      <c r="AB7" s="1" t="s">
        <v>92</v>
      </c>
      <c r="AC7" s="1" t="s">
        <v>92</v>
      </c>
      <c r="AD7" s="1" t="s">
        <v>92</v>
      </c>
      <c r="AE7" s="1" t="s">
        <v>92</v>
      </c>
      <c r="AF7" s="2"/>
      <c r="AG7" s="2"/>
    </row>
    <row r="8" spans="1:33" ht="18">
      <c r="A8" s="1">
        <v>6</v>
      </c>
      <c r="B8" s="28" t="s">
        <v>8</v>
      </c>
      <c r="C8" s="10"/>
      <c r="D8" s="1" t="s">
        <v>130</v>
      </c>
      <c r="E8" s="10"/>
      <c r="F8" s="2"/>
      <c r="G8" s="16" t="s">
        <v>25</v>
      </c>
      <c r="H8" s="1" t="s">
        <v>92</v>
      </c>
      <c r="I8" s="1" t="s">
        <v>92</v>
      </c>
      <c r="J8" s="1" t="s">
        <v>92</v>
      </c>
      <c r="K8" s="1" t="s">
        <v>92</v>
      </c>
      <c r="L8" s="2"/>
      <c r="M8" s="2"/>
      <c r="N8" s="1" t="s">
        <v>92</v>
      </c>
      <c r="O8" s="1" t="s">
        <v>92</v>
      </c>
      <c r="P8" s="1" t="s">
        <v>92</v>
      </c>
      <c r="Q8" s="1" t="s">
        <v>92</v>
      </c>
      <c r="R8" s="1" t="s">
        <v>92</v>
      </c>
      <c r="S8" s="2"/>
      <c r="T8" s="2"/>
      <c r="U8" s="1" t="s">
        <v>92</v>
      </c>
      <c r="V8" s="1" t="s">
        <v>92</v>
      </c>
      <c r="W8" s="1" t="s">
        <v>92</v>
      </c>
      <c r="X8" s="1" t="s">
        <v>92</v>
      </c>
      <c r="Y8" s="1" t="s">
        <v>92</v>
      </c>
      <c r="Z8" s="10"/>
      <c r="AA8" s="2"/>
      <c r="AB8" s="1" t="s">
        <v>92</v>
      </c>
      <c r="AC8" s="1" t="s">
        <v>92</v>
      </c>
      <c r="AD8" s="1" t="s">
        <v>92</v>
      </c>
      <c r="AE8" s="1" t="s">
        <v>92</v>
      </c>
      <c r="AF8" s="2"/>
      <c r="AG8" s="10"/>
    </row>
    <row r="9" spans="1:33" ht="18">
      <c r="A9" s="1">
        <v>7</v>
      </c>
      <c r="B9" s="28" t="s">
        <v>9</v>
      </c>
      <c r="C9" s="2"/>
      <c r="D9" s="1" t="s">
        <v>130</v>
      </c>
      <c r="E9" s="2"/>
      <c r="F9" s="2"/>
      <c r="G9" s="1" t="s">
        <v>130</v>
      </c>
      <c r="H9" s="16" t="s">
        <v>25</v>
      </c>
      <c r="I9" s="16" t="s">
        <v>25</v>
      </c>
      <c r="J9" s="16" t="s">
        <v>25</v>
      </c>
      <c r="K9" s="16" t="s">
        <v>25</v>
      </c>
      <c r="L9" s="2"/>
      <c r="M9" s="2"/>
      <c r="N9" s="16" t="s">
        <v>25</v>
      </c>
      <c r="O9" s="16" t="s">
        <v>25</v>
      </c>
      <c r="P9" s="16" t="s">
        <v>25</v>
      </c>
      <c r="Q9" s="1" t="s">
        <v>22</v>
      </c>
      <c r="R9" s="1" t="s">
        <v>92</v>
      </c>
      <c r="S9" s="2"/>
      <c r="T9" s="2"/>
      <c r="U9" s="1" t="s">
        <v>92</v>
      </c>
      <c r="V9" s="1" t="s">
        <v>92</v>
      </c>
      <c r="W9" s="1" t="s">
        <v>92</v>
      </c>
      <c r="X9" s="1" t="s">
        <v>92</v>
      </c>
      <c r="Y9" s="1" t="s">
        <v>92</v>
      </c>
      <c r="Z9" s="10"/>
      <c r="AA9" s="2"/>
      <c r="AB9" s="1" t="s">
        <v>92</v>
      </c>
      <c r="AC9" s="1" t="s">
        <v>92</v>
      </c>
      <c r="AD9" s="1" t="s">
        <v>92</v>
      </c>
      <c r="AE9" s="1" t="s">
        <v>92</v>
      </c>
      <c r="AF9" s="2"/>
      <c r="AG9" s="2"/>
    </row>
    <row r="10" spans="1:33">
      <c r="A10" s="1">
        <v>8</v>
      </c>
      <c r="B10" s="1" t="s">
        <v>10</v>
      </c>
      <c r="C10" s="2"/>
      <c r="D10" s="1" t="s">
        <v>62</v>
      </c>
      <c r="E10" s="2"/>
      <c r="F10" s="2"/>
      <c r="G10" s="1" t="s">
        <v>62</v>
      </c>
      <c r="H10" s="1" t="s">
        <v>92</v>
      </c>
      <c r="I10" s="1" t="s">
        <v>92</v>
      </c>
      <c r="J10" s="1" t="s">
        <v>92</v>
      </c>
      <c r="K10" s="1" t="s">
        <v>92</v>
      </c>
      <c r="L10" s="2"/>
      <c r="M10" s="2"/>
      <c r="N10" s="1" t="s">
        <v>92</v>
      </c>
      <c r="O10" s="1" t="s">
        <v>92</v>
      </c>
      <c r="P10" s="1" t="s">
        <v>92</v>
      </c>
      <c r="Q10" s="1" t="s">
        <v>92</v>
      </c>
      <c r="R10" s="1" t="s">
        <v>92</v>
      </c>
      <c r="S10" s="2"/>
      <c r="T10" s="2"/>
      <c r="U10" s="1" t="s">
        <v>92</v>
      </c>
      <c r="V10" s="1" t="s">
        <v>92</v>
      </c>
      <c r="W10" s="1" t="s">
        <v>92</v>
      </c>
      <c r="X10" s="1" t="s">
        <v>92</v>
      </c>
      <c r="Y10" s="1" t="s">
        <v>92</v>
      </c>
      <c r="Z10" s="10"/>
      <c r="AA10" s="2"/>
      <c r="AB10" s="1" t="s">
        <v>92</v>
      </c>
      <c r="AC10" s="1" t="s">
        <v>92</v>
      </c>
      <c r="AD10" s="1" t="s">
        <v>92</v>
      </c>
      <c r="AE10" s="1" t="s">
        <v>92</v>
      </c>
      <c r="AF10" s="2"/>
      <c r="AG10" s="2"/>
    </row>
    <row r="11" spans="1:33" ht="18">
      <c r="A11" s="1">
        <v>9</v>
      </c>
      <c r="B11" s="1" t="s">
        <v>11</v>
      </c>
      <c r="C11" s="2" t="s">
        <v>92</v>
      </c>
      <c r="D11" s="1" t="s">
        <v>92</v>
      </c>
      <c r="E11" s="2"/>
      <c r="F11" s="2"/>
      <c r="G11" s="1" t="s">
        <v>130</v>
      </c>
      <c r="H11" s="1" t="s">
        <v>130</v>
      </c>
      <c r="I11" s="16" t="s">
        <v>25</v>
      </c>
      <c r="J11" s="16" t="s">
        <v>25</v>
      </c>
      <c r="K11" s="1" t="s">
        <v>92</v>
      </c>
      <c r="L11" s="2"/>
      <c r="M11" s="2"/>
      <c r="N11" s="1" t="s">
        <v>92</v>
      </c>
      <c r="O11" s="1" t="s">
        <v>92</v>
      </c>
      <c r="P11" s="1" t="s">
        <v>92</v>
      </c>
      <c r="Q11" s="1" t="s">
        <v>92</v>
      </c>
      <c r="R11" s="1" t="s">
        <v>92</v>
      </c>
      <c r="S11" s="2"/>
      <c r="T11" s="2"/>
      <c r="U11" s="1" t="s">
        <v>92</v>
      </c>
      <c r="V11" s="1" t="s">
        <v>92</v>
      </c>
      <c r="W11" s="1" t="s">
        <v>92</v>
      </c>
      <c r="X11" s="1" t="s">
        <v>92</v>
      </c>
      <c r="Y11" s="1" t="s">
        <v>92</v>
      </c>
      <c r="Z11" s="10"/>
      <c r="AA11" s="2"/>
      <c r="AB11" s="1" t="s">
        <v>92</v>
      </c>
      <c r="AC11" s="1" t="s">
        <v>92</v>
      </c>
      <c r="AD11" s="1" t="s">
        <v>92</v>
      </c>
      <c r="AE11" s="1" t="s">
        <v>92</v>
      </c>
      <c r="AF11" s="2"/>
      <c r="AG11" s="2"/>
    </row>
    <row r="12" spans="1:33" ht="18">
      <c r="A12" s="1">
        <v>10</v>
      </c>
      <c r="B12" s="1" t="s">
        <v>12</v>
      </c>
      <c r="C12" s="2"/>
      <c r="D12" s="1" t="s">
        <v>22</v>
      </c>
      <c r="E12" s="2"/>
      <c r="F12" s="2"/>
      <c r="G12" s="16" t="s">
        <v>25</v>
      </c>
      <c r="H12" s="16" t="s">
        <v>25</v>
      </c>
      <c r="I12" s="16" t="s">
        <v>25</v>
      </c>
      <c r="J12" s="16" t="s">
        <v>25</v>
      </c>
      <c r="K12" s="16" t="s">
        <v>25</v>
      </c>
      <c r="L12" s="2"/>
      <c r="M12" s="2"/>
      <c r="N12" s="16" t="s">
        <v>25</v>
      </c>
      <c r="O12" s="16" t="s">
        <v>25</v>
      </c>
      <c r="P12" s="16" t="s">
        <v>25</v>
      </c>
      <c r="Q12" s="1" t="s">
        <v>132</v>
      </c>
      <c r="R12" s="1" t="s">
        <v>132</v>
      </c>
      <c r="S12" s="2"/>
      <c r="T12" s="2"/>
      <c r="U12" s="16" t="s">
        <v>25</v>
      </c>
      <c r="V12" s="16" t="s">
        <v>25</v>
      </c>
      <c r="W12" s="16" t="s">
        <v>25</v>
      </c>
      <c r="X12" s="16" t="s">
        <v>25</v>
      </c>
      <c r="Y12" s="16" t="s">
        <v>25</v>
      </c>
      <c r="Z12" s="2"/>
      <c r="AA12" s="2"/>
      <c r="AB12" s="16" t="s">
        <v>25</v>
      </c>
      <c r="AC12" s="16" t="s">
        <v>25</v>
      </c>
      <c r="AD12" s="1" t="s">
        <v>132</v>
      </c>
      <c r="AE12" s="16" t="s">
        <v>25</v>
      </c>
      <c r="AF12" s="2"/>
      <c r="AG12" s="2"/>
    </row>
    <row r="13" spans="1:33" ht="18">
      <c r="A13" s="1">
        <v>11</v>
      </c>
      <c r="B13" s="1" t="s">
        <v>13</v>
      </c>
      <c r="C13" s="2"/>
      <c r="D13" s="1" t="s">
        <v>130</v>
      </c>
      <c r="E13" s="2"/>
      <c r="F13" s="2"/>
      <c r="G13" s="16" t="s">
        <v>25</v>
      </c>
      <c r="H13" s="1" t="s">
        <v>130</v>
      </c>
      <c r="I13" s="1" t="s">
        <v>130</v>
      </c>
      <c r="J13" s="16" t="s">
        <v>25</v>
      </c>
      <c r="K13" s="16" t="s">
        <v>25</v>
      </c>
      <c r="L13" s="2"/>
      <c r="M13" s="2"/>
      <c r="N13" s="16" t="s">
        <v>25</v>
      </c>
      <c r="O13" s="16" t="s">
        <v>25</v>
      </c>
      <c r="P13" s="16" t="s">
        <v>25</v>
      </c>
      <c r="Q13" s="16" t="s">
        <v>25</v>
      </c>
      <c r="R13" s="16" t="s">
        <v>25</v>
      </c>
      <c r="S13" s="2"/>
      <c r="T13" s="2"/>
      <c r="U13" s="16" t="s">
        <v>25</v>
      </c>
      <c r="V13" s="4" t="s">
        <v>22</v>
      </c>
      <c r="W13" s="16" t="s">
        <v>25</v>
      </c>
      <c r="X13" s="16" t="s">
        <v>25</v>
      </c>
      <c r="Y13" s="16" t="s">
        <v>25</v>
      </c>
      <c r="Z13" s="2"/>
      <c r="AA13" s="2"/>
      <c r="AB13" s="16" t="s">
        <v>25</v>
      </c>
      <c r="AC13" s="16" t="s">
        <v>25</v>
      </c>
      <c r="AD13" s="16" t="s">
        <v>25</v>
      </c>
      <c r="AE13" s="16" t="s">
        <v>25</v>
      </c>
      <c r="AF13" s="2"/>
      <c r="AG13" s="2"/>
    </row>
    <row r="14" spans="1:33" ht="18">
      <c r="A14" s="1">
        <v>12</v>
      </c>
      <c r="B14" s="28" t="s">
        <v>14</v>
      </c>
      <c r="C14" s="2"/>
      <c r="D14" s="1" t="s">
        <v>131</v>
      </c>
      <c r="E14" s="2"/>
      <c r="F14" s="2"/>
      <c r="G14" s="16" t="s">
        <v>25</v>
      </c>
      <c r="H14" s="16" t="s">
        <v>25</v>
      </c>
      <c r="I14" s="16" t="s">
        <v>25</v>
      </c>
      <c r="J14" s="16" t="s">
        <v>25</v>
      </c>
      <c r="K14" s="16" t="s">
        <v>25</v>
      </c>
      <c r="L14" s="2"/>
      <c r="M14" s="2"/>
      <c r="N14" s="16" t="s">
        <v>25</v>
      </c>
      <c r="O14" s="16" t="s">
        <v>25</v>
      </c>
      <c r="P14" s="16" t="s">
        <v>25</v>
      </c>
      <c r="Q14" s="1" t="s">
        <v>132</v>
      </c>
      <c r="R14" s="1" t="s">
        <v>92</v>
      </c>
      <c r="S14" s="2"/>
      <c r="T14" s="2"/>
      <c r="U14" s="1" t="s">
        <v>92</v>
      </c>
      <c r="V14" s="1" t="s">
        <v>92</v>
      </c>
      <c r="W14" s="1" t="s">
        <v>92</v>
      </c>
      <c r="X14" s="1" t="s">
        <v>92</v>
      </c>
      <c r="Y14" s="1" t="s">
        <v>92</v>
      </c>
      <c r="Z14" s="10"/>
      <c r="AA14" s="2"/>
      <c r="AB14" s="1" t="s">
        <v>92</v>
      </c>
      <c r="AC14" s="1" t="s">
        <v>92</v>
      </c>
      <c r="AD14" s="1" t="s">
        <v>92</v>
      </c>
      <c r="AE14" s="1" t="s">
        <v>92</v>
      </c>
      <c r="AF14" s="2"/>
      <c r="AG14" s="2"/>
    </row>
    <row r="15" spans="1:33" ht="18">
      <c r="A15" s="1">
        <v>13</v>
      </c>
      <c r="B15" s="1" t="s">
        <v>16</v>
      </c>
      <c r="C15" s="2" t="s">
        <v>92</v>
      </c>
      <c r="D15" s="1" t="s">
        <v>92</v>
      </c>
      <c r="E15" s="2"/>
      <c r="F15" s="2"/>
      <c r="G15" s="1" t="s">
        <v>130</v>
      </c>
      <c r="H15" s="1" t="s">
        <v>130</v>
      </c>
      <c r="I15" s="16" t="s">
        <v>25</v>
      </c>
      <c r="J15" s="16" t="s">
        <v>25</v>
      </c>
      <c r="K15" s="1" t="s">
        <v>92</v>
      </c>
      <c r="L15" s="2"/>
      <c r="M15" s="2"/>
      <c r="N15" s="1" t="s">
        <v>92</v>
      </c>
      <c r="O15" s="1" t="s">
        <v>92</v>
      </c>
      <c r="P15" s="1" t="s">
        <v>92</v>
      </c>
      <c r="Q15" s="1" t="s">
        <v>92</v>
      </c>
      <c r="R15" s="1" t="s">
        <v>92</v>
      </c>
      <c r="S15" s="2"/>
      <c r="T15" s="2"/>
      <c r="U15" s="1" t="s">
        <v>92</v>
      </c>
      <c r="V15" s="1" t="s">
        <v>92</v>
      </c>
      <c r="W15" s="1" t="s">
        <v>92</v>
      </c>
      <c r="X15" s="1" t="s">
        <v>92</v>
      </c>
      <c r="Y15" s="1" t="s">
        <v>92</v>
      </c>
      <c r="Z15" s="10"/>
      <c r="AA15" s="2"/>
      <c r="AB15" s="1" t="s">
        <v>92</v>
      </c>
      <c r="AC15" s="1" t="s">
        <v>92</v>
      </c>
      <c r="AD15" s="1" t="s">
        <v>92</v>
      </c>
      <c r="AE15" s="1" t="s">
        <v>92</v>
      </c>
      <c r="AF15" s="2"/>
      <c r="AG15" s="2"/>
    </row>
    <row r="16" spans="1:33" ht="18">
      <c r="A16" s="1">
        <v>14</v>
      </c>
      <c r="B16" s="28" t="s">
        <v>60</v>
      </c>
      <c r="C16" s="2" t="s">
        <v>92</v>
      </c>
      <c r="D16" s="1" t="s">
        <v>92</v>
      </c>
      <c r="E16" s="2"/>
      <c r="F16" s="2"/>
      <c r="G16" s="16" t="s">
        <v>25</v>
      </c>
      <c r="H16" s="16" t="s">
        <v>25</v>
      </c>
      <c r="I16" s="4" t="s">
        <v>22</v>
      </c>
      <c r="J16" s="16" t="s">
        <v>25</v>
      </c>
      <c r="K16" s="1" t="s">
        <v>92</v>
      </c>
      <c r="L16" s="2"/>
      <c r="M16" s="2"/>
      <c r="N16" s="1" t="s">
        <v>92</v>
      </c>
      <c r="O16" s="1" t="s">
        <v>92</v>
      </c>
      <c r="P16" s="1" t="s">
        <v>92</v>
      </c>
      <c r="Q16" s="1" t="s">
        <v>92</v>
      </c>
      <c r="R16" s="1" t="s">
        <v>92</v>
      </c>
      <c r="S16" s="2"/>
      <c r="T16" s="2"/>
      <c r="U16" s="1" t="s">
        <v>92</v>
      </c>
      <c r="V16" s="1" t="s">
        <v>92</v>
      </c>
      <c r="W16" s="1" t="s">
        <v>92</v>
      </c>
      <c r="X16" s="1" t="s">
        <v>92</v>
      </c>
      <c r="Y16" s="1" t="s">
        <v>92</v>
      </c>
      <c r="Z16" s="2"/>
      <c r="AA16" s="2"/>
      <c r="AB16" s="1" t="s">
        <v>92</v>
      </c>
      <c r="AC16" s="1" t="s">
        <v>92</v>
      </c>
      <c r="AD16" s="1" t="s">
        <v>92</v>
      </c>
      <c r="AE16" s="1" t="s">
        <v>92</v>
      </c>
      <c r="AF16" s="2"/>
      <c r="AG16" s="2"/>
    </row>
    <row r="17" spans="1:33">
      <c r="A17" s="1">
        <v>15</v>
      </c>
      <c r="B17" s="29" t="s">
        <v>66</v>
      </c>
      <c r="C17" s="2"/>
      <c r="D17" s="1" t="s">
        <v>22</v>
      </c>
      <c r="E17" s="2"/>
      <c r="F17" s="2"/>
      <c r="G17" s="1" t="s">
        <v>92</v>
      </c>
      <c r="H17" s="1" t="s">
        <v>92</v>
      </c>
      <c r="I17" s="1" t="s">
        <v>92</v>
      </c>
      <c r="J17" s="1" t="s">
        <v>92</v>
      </c>
      <c r="K17" s="1" t="s">
        <v>92</v>
      </c>
      <c r="L17" s="2"/>
      <c r="M17" s="2"/>
      <c r="N17" s="1" t="s">
        <v>92</v>
      </c>
      <c r="O17" s="1" t="s">
        <v>92</v>
      </c>
      <c r="P17" s="1" t="s">
        <v>92</v>
      </c>
      <c r="Q17" s="1" t="s">
        <v>92</v>
      </c>
      <c r="R17" s="1" t="s">
        <v>92</v>
      </c>
      <c r="S17" s="2"/>
      <c r="T17" s="2"/>
      <c r="U17" s="1" t="s">
        <v>92</v>
      </c>
      <c r="V17" s="1" t="s">
        <v>92</v>
      </c>
      <c r="W17" s="1" t="s">
        <v>92</v>
      </c>
      <c r="X17" s="1" t="s">
        <v>92</v>
      </c>
      <c r="Y17" s="1" t="s">
        <v>92</v>
      </c>
      <c r="Z17" s="2"/>
      <c r="AA17" s="2"/>
      <c r="AB17" s="1" t="s">
        <v>92</v>
      </c>
      <c r="AC17" s="1" t="s">
        <v>92</v>
      </c>
      <c r="AD17" s="1" t="s">
        <v>92</v>
      </c>
      <c r="AE17" s="1" t="s">
        <v>92</v>
      </c>
      <c r="AF17" s="2"/>
      <c r="AG17" s="2"/>
    </row>
    <row r="18" spans="1:33" ht="18">
      <c r="A18" s="1">
        <v>16</v>
      </c>
      <c r="B18" s="29" t="s">
        <v>87</v>
      </c>
      <c r="C18" s="2"/>
      <c r="D18" s="1" t="s">
        <v>22</v>
      </c>
      <c r="E18" s="2"/>
      <c r="F18" s="2"/>
      <c r="G18" s="16" t="s">
        <v>25</v>
      </c>
      <c r="H18" s="1" t="s">
        <v>92</v>
      </c>
      <c r="I18" s="1" t="s">
        <v>92</v>
      </c>
      <c r="J18" s="1" t="s">
        <v>92</v>
      </c>
      <c r="K18" s="1" t="s">
        <v>92</v>
      </c>
      <c r="L18" s="2"/>
      <c r="M18" s="2"/>
      <c r="N18" s="1" t="s">
        <v>92</v>
      </c>
      <c r="O18" s="1" t="s">
        <v>92</v>
      </c>
      <c r="P18" s="1" t="s">
        <v>92</v>
      </c>
      <c r="Q18" s="1" t="s">
        <v>92</v>
      </c>
      <c r="R18" s="1" t="s">
        <v>92</v>
      </c>
      <c r="S18" s="2"/>
      <c r="T18" s="2"/>
      <c r="U18" s="1" t="s">
        <v>92</v>
      </c>
      <c r="V18" s="1" t="s">
        <v>92</v>
      </c>
      <c r="W18" s="1" t="s">
        <v>92</v>
      </c>
      <c r="X18" s="1" t="s">
        <v>92</v>
      </c>
      <c r="Y18" s="1" t="s">
        <v>92</v>
      </c>
      <c r="Z18" s="10"/>
      <c r="AA18" s="2"/>
      <c r="AB18" s="1" t="s">
        <v>92</v>
      </c>
      <c r="AC18" s="1" t="s">
        <v>92</v>
      </c>
      <c r="AD18" s="1" t="s">
        <v>92</v>
      </c>
      <c r="AE18" s="1" t="s">
        <v>92</v>
      </c>
      <c r="AF18" s="2"/>
      <c r="AG18" s="2"/>
    </row>
    <row r="19" spans="1:33">
      <c r="A19" s="1">
        <v>17</v>
      </c>
      <c r="B19" s="29" t="s">
        <v>104</v>
      </c>
      <c r="C19" s="2"/>
      <c r="D19" s="4" t="s">
        <v>22</v>
      </c>
      <c r="E19" s="2"/>
      <c r="F19" s="2"/>
      <c r="G19" s="1" t="s">
        <v>92</v>
      </c>
      <c r="H19" s="1" t="s">
        <v>92</v>
      </c>
      <c r="I19" s="1" t="s">
        <v>92</v>
      </c>
      <c r="J19" s="1" t="s">
        <v>92</v>
      </c>
      <c r="K19" s="1" t="s">
        <v>92</v>
      </c>
      <c r="L19" s="2"/>
      <c r="M19" s="2"/>
      <c r="N19" s="1" t="s">
        <v>92</v>
      </c>
      <c r="O19" s="1" t="s">
        <v>92</v>
      </c>
      <c r="P19" s="1" t="s">
        <v>92</v>
      </c>
      <c r="Q19" s="1" t="s">
        <v>92</v>
      </c>
      <c r="R19" s="1" t="s">
        <v>92</v>
      </c>
      <c r="S19" s="2"/>
      <c r="T19" s="2"/>
      <c r="U19" s="1" t="s">
        <v>92</v>
      </c>
      <c r="V19" s="1" t="s">
        <v>92</v>
      </c>
      <c r="W19" s="1" t="s">
        <v>92</v>
      </c>
      <c r="X19" s="1" t="s">
        <v>92</v>
      </c>
      <c r="Y19" s="1" t="s">
        <v>92</v>
      </c>
      <c r="Z19" s="2"/>
      <c r="AA19" s="2"/>
      <c r="AB19" s="1" t="s">
        <v>92</v>
      </c>
      <c r="AC19" s="1" t="s">
        <v>92</v>
      </c>
      <c r="AD19" s="1" t="s">
        <v>92</v>
      </c>
      <c r="AE19" s="1" t="s">
        <v>92</v>
      </c>
      <c r="AF19" s="2"/>
      <c r="AG19" s="2"/>
    </row>
    <row r="20" spans="1:33">
      <c r="A20" s="5" t="s">
        <v>25</v>
      </c>
      <c r="B20" t="s">
        <v>23</v>
      </c>
    </row>
    <row r="21" spans="1:33">
      <c r="A21" s="4" t="s">
        <v>22</v>
      </c>
      <c r="B21" t="s">
        <v>24</v>
      </c>
    </row>
    <row r="22" spans="1:33">
      <c r="A22" s="7" t="s">
        <v>30</v>
      </c>
      <c r="B22" s="6" t="s">
        <v>29</v>
      </c>
    </row>
    <row r="24" spans="1:33">
      <c r="A24" s="11" t="s">
        <v>43</v>
      </c>
    </row>
    <row r="25" spans="1:33">
      <c r="A25" s="12" t="s">
        <v>44</v>
      </c>
    </row>
    <row r="26" spans="1:33">
      <c r="A26" s="12" t="s">
        <v>45</v>
      </c>
    </row>
    <row r="27" spans="1:33">
      <c r="A27" s="12" t="s">
        <v>41</v>
      </c>
    </row>
    <row r="28" spans="1:33">
      <c r="A28" s="12" t="s">
        <v>46</v>
      </c>
    </row>
    <row r="29" spans="1:33">
      <c r="A29" s="12" t="s">
        <v>47</v>
      </c>
    </row>
    <row r="30" spans="1:33">
      <c r="A30" s="12" t="s">
        <v>42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41" priority="2"/>
  </conditionalFormatting>
  <conditionalFormatting sqref="B19">
    <cfRule type="duplicateValues" dxfId="40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H19"/>
  <sheetViews>
    <sheetView workbookViewId="0">
      <selection activeCell="AL11" sqref="AL11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1" width="8.83203125" hidden="1" customWidth="1"/>
    <col min="32" max="33" width="8.83203125" customWidth="1"/>
  </cols>
  <sheetData>
    <row r="1" spans="1:34" ht="27">
      <c r="A1" s="71" t="s">
        <v>17</v>
      </c>
      <c r="B1" s="71"/>
      <c r="C1" s="64" t="s">
        <v>38</v>
      </c>
      <c r="D1" s="68">
        <v>45413</v>
      </c>
      <c r="E1" s="68">
        <v>45414</v>
      </c>
      <c r="F1" s="68">
        <v>45415</v>
      </c>
      <c r="G1" s="68">
        <v>45416</v>
      </c>
      <c r="H1" s="68">
        <v>45417</v>
      </c>
      <c r="I1" s="68">
        <v>45418</v>
      </c>
      <c r="J1" s="68">
        <v>45419</v>
      </c>
      <c r="K1" s="68">
        <v>45420</v>
      </c>
      <c r="L1" s="68">
        <v>45421</v>
      </c>
      <c r="M1" s="68">
        <v>45422</v>
      </c>
      <c r="N1" s="68">
        <v>45423</v>
      </c>
      <c r="O1" s="68">
        <v>45424</v>
      </c>
      <c r="P1" s="68">
        <v>45425</v>
      </c>
      <c r="Q1" s="68">
        <v>45426</v>
      </c>
      <c r="R1" s="68">
        <v>45427</v>
      </c>
      <c r="S1" s="68">
        <v>45428</v>
      </c>
      <c r="T1" s="68">
        <v>45429</v>
      </c>
      <c r="U1" s="68">
        <v>45430</v>
      </c>
      <c r="V1" s="68">
        <v>45431</v>
      </c>
      <c r="W1" s="68">
        <v>45432</v>
      </c>
      <c r="X1" s="68">
        <v>45433</v>
      </c>
      <c r="Y1" s="68">
        <v>45434</v>
      </c>
      <c r="Z1" s="68">
        <v>45435</v>
      </c>
      <c r="AA1" s="68">
        <v>45436</v>
      </c>
      <c r="AB1" s="68">
        <v>45437</v>
      </c>
      <c r="AC1" s="68">
        <v>45438</v>
      </c>
      <c r="AD1" s="68">
        <v>45439</v>
      </c>
      <c r="AE1" s="68">
        <v>45440</v>
      </c>
      <c r="AF1" s="68">
        <v>45441</v>
      </c>
      <c r="AG1" s="68">
        <v>45442</v>
      </c>
      <c r="AH1" s="68">
        <v>45443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 t="shared" ref="C3:C9" si="0">SUM(D3:AH3)</f>
        <v>0</v>
      </c>
      <c r="D3" s="2"/>
      <c r="E3" s="1">
        <v>0</v>
      </c>
      <c r="F3" s="2"/>
      <c r="G3" s="2"/>
      <c r="H3" s="1">
        <v>0</v>
      </c>
      <c r="I3" s="1">
        <v>0</v>
      </c>
      <c r="J3" s="1">
        <v>0</v>
      </c>
      <c r="K3" s="1">
        <v>0</v>
      </c>
      <c r="L3" s="1">
        <v>0</v>
      </c>
      <c r="M3" s="2"/>
      <c r="N3" s="2"/>
      <c r="O3" s="1">
        <v>0</v>
      </c>
      <c r="P3" s="1">
        <v>0</v>
      </c>
      <c r="Q3" s="1">
        <v>0</v>
      </c>
      <c r="R3" s="1">
        <v>0</v>
      </c>
      <c r="S3" s="1">
        <v>0</v>
      </c>
      <c r="T3" s="2"/>
      <c r="U3" s="2"/>
      <c r="V3" s="1">
        <v>0</v>
      </c>
      <c r="W3" s="1">
        <v>0</v>
      </c>
      <c r="X3" s="1">
        <v>0</v>
      </c>
      <c r="Y3" s="1">
        <v>0</v>
      </c>
      <c r="Z3" s="1">
        <v>0</v>
      </c>
      <c r="AA3" s="2"/>
      <c r="AB3" s="2"/>
      <c r="AC3" s="1">
        <v>0</v>
      </c>
      <c r="AD3" s="1">
        <v>0</v>
      </c>
      <c r="AE3" s="1">
        <v>0</v>
      </c>
      <c r="AF3" s="1">
        <v>0</v>
      </c>
      <c r="AG3" s="2"/>
      <c r="AH3" s="2"/>
    </row>
    <row r="4" spans="1:34">
      <c r="A4" s="1">
        <v>2</v>
      </c>
      <c r="B4" s="1" t="s">
        <v>4</v>
      </c>
      <c r="C4" s="1">
        <f t="shared" si="0"/>
        <v>2</v>
      </c>
      <c r="D4" s="2"/>
      <c r="E4" s="1">
        <v>0</v>
      </c>
      <c r="F4" s="2"/>
      <c r="G4" s="2"/>
      <c r="H4" s="1">
        <v>0</v>
      </c>
      <c r="I4" s="1">
        <v>0</v>
      </c>
      <c r="J4" s="1">
        <v>0</v>
      </c>
      <c r="K4" s="1">
        <v>0</v>
      </c>
      <c r="L4" s="1">
        <v>0</v>
      </c>
      <c r="M4" s="2"/>
      <c r="N4" s="2"/>
      <c r="O4" s="1">
        <v>0</v>
      </c>
      <c r="P4" s="1">
        <v>0</v>
      </c>
      <c r="Q4" s="1">
        <v>0</v>
      </c>
      <c r="R4" s="1">
        <v>0</v>
      </c>
      <c r="S4" s="1">
        <v>0</v>
      </c>
      <c r="T4" s="2"/>
      <c r="U4" s="2"/>
      <c r="V4" s="1">
        <v>0</v>
      </c>
      <c r="W4" s="1">
        <v>0</v>
      </c>
      <c r="X4" s="1">
        <v>0</v>
      </c>
      <c r="Y4" s="1">
        <v>2</v>
      </c>
      <c r="Z4" s="1">
        <v>0</v>
      </c>
      <c r="AA4" s="2"/>
      <c r="AB4" s="2"/>
      <c r="AC4" s="1">
        <v>0</v>
      </c>
      <c r="AD4" s="1">
        <v>0</v>
      </c>
      <c r="AE4" s="1">
        <v>0</v>
      </c>
      <c r="AF4" s="1">
        <v>0</v>
      </c>
      <c r="AG4" s="2"/>
      <c r="AH4" s="2"/>
    </row>
    <row r="5" spans="1:34">
      <c r="A5" s="1">
        <v>3</v>
      </c>
      <c r="B5" s="1" t="s">
        <v>5</v>
      </c>
      <c r="C5" s="1">
        <f t="shared" si="0"/>
        <v>2</v>
      </c>
      <c r="D5" s="2"/>
      <c r="E5" s="1">
        <v>0</v>
      </c>
      <c r="F5" s="2"/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2"/>
      <c r="N5" s="2"/>
      <c r="O5" s="1">
        <v>0</v>
      </c>
      <c r="P5" s="1">
        <v>1</v>
      </c>
      <c r="Q5" s="1">
        <v>1</v>
      </c>
      <c r="R5" s="1">
        <v>0</v>
      </c>
      <c r="S5" s="1">
        <v>0</v>
      </c>
      <c r="T5" s="2"/>
      <c r="U5" s="2"/>
      <c r="V5" s="1">
        <v>0</v>
      </c>
      <c r="W5" s="1">
        <v>0</v>
      </c>
      <c r="X5" s="1">
        <v>0</v>
      </c>
      <c r="Y5" s="1">
        <v>0</v>
      </c>
      <c r="Z5" s="1">
        <v>0</v>
      </c>
      <c r="AA5" s="2"/>
      <c r="AB5" s="2"/>
      <c r="AC5" s="1">
        <v>0</v>
      </c>
      <c r="AD5" s="1">
        <v>0</v>
      </c>
      <c r="AE5" s="1">
        <v>0</v>
      </c>
      <c r="AF5" s="1">
        <v>0</v>
      </c>
      <c r="AG5" s="2"/>
      <c r="AH5" s="2"/>
    </row>
    <row r="6" spans="1:34">
      <c r="A6" s="1">
        <v>4</v>
      </c>
      <c r="B6" s="1" t="s">
        <v>52</v>
      </c>
      <c r="C6" s="1">
        <f t="shared" si="0"/>
        <v>10</v>
      </c>
      <c r="D6" s="2"/>
      <c r="E6" s="1">
        <v>0</v>
      </c>
      <c r="F6" s="2"/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2"/>
      <c r="N6" s="2"/>
      <c r="O6" s="1">
        <v>0</v>
      </c>
      <c r="P6" s="1">
        <v>0</v>
      </c>
      <c r="Q6" s="1">
        <v>0</v>
      </c>
      <c r="R6" s="1">
        <v>0</v>
      </c>
      <c r="S6" s="1">
        <v>0</v>
      </c>
      <c r="T6" s="2"/>
      <c r="U6" s="2"/>
      <c r="V6" s="1">
        <v>10</v>
      </c>
      <c r="W6" s="1">
        <v>0</v>
      </c>
      <c r="X6" s="1">
        <v>0</v>
      </c>
      <c r="Y6" s="1">
        <v>0</v>
      </c>
      <c r="Z6" s="1">
        <v>0</v>
      </c>
      <c r="AA6" s="2"/>
      <c r="AB6" s="2"/>
      <c r="AC6" s="1">
        <v>0</v>
      </c>
      <c r="AD6" s="1">
        <v>0</v>
      </c>
      <c r="AE6" s="1">
        <v>0</v>
      </c>
      <c r="AF6" s="1">
        <v>0</v>
      </c>
      <c r="AG6" s="2"/>
      <c r="AH6" s="2"/>
    </row>
    <row r="7" spans="1:34">
      <c r="A7" s="1">
        <v>5</v>
      </c>
      <c r="B7" s="1" t="s">
        <v>7</v>
      </c>
      <c r="C7" s="1">
        <f t="shared" si="0"/>
        <v>0</v>
      </c>
      <c r="D7" s="2"/>
      <c r="E7" s="1">
        <v>0</v>
      </c>
      <c r="F7" s="2"/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2"/>
      <c r="N7" s="2"/>
      <c r="O7" s="1">
        <v>0</v>
      </c>
      <c r="P7" s="1">
        <v>0</v>
      </c>
      <c r="Q7" s="1">
        <v>0</v>
      </c>
      <c r="R7" s="1">
        <v>0</v>
      </c>
      <c r="S7" s="1">
        <v>0</v>
      </c>
      <c r="T7" s="2"/>
      <c r="U7" s="2"/>
      <c r="V7" s="1">
        <v>0</v>
      </c>
      <c r="W7" s="1">
        <v>0</v>
      </c>
      <c r="X7" s="1">
        <v>0</v>
      </c>
      <c r="Y7" s="1">
        <v>0</v>
      </c>
      <c r="Z7" s="1">
        <v>0</v>
      </c>
      <c r="AA7" s="2"/>
      <c r="AB7" s="2"/>
      <c r="AC7" s="1">
        <v>0</v>
      </c>
      <c r="AD7" s="1">
        <v>0</v>
      </c>
      <c r="AE7" s="1">
        <v>0</v>
      </c>
      <c r="AF7" s="1">
        <v>0</v>
      </c>
      <c r="AG7" s="2"/>
      <c r="AH7" s="2"/>
    </row>
    <row r="8" spans="1:34">
      <c r="A8" s="1">
        <v>6</v>
      </c>
      <c r="B8" s="1" t="s">
        <v>8</v>
      </c>
      <c r="C8" s="1">
        <f t="shared" si="0"/>
        <v>0</v>
      </c>
      <c r="D8" s="2"/>
      <c r="E8" s="1">
        <v>0</v>
      </c>
      <c r="F8" s="10"/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0"/>
      <c r="N8" s="2"/>
      <c r="O8" s="1">
        <v>0</v>
      </c>
      <c r="P8" s="1">
        <v>0</v>
      </c>
      <c r="Q8" s="1">
        <v>0</v>
      </c>
      <c r="R8" s="1">
        <v>0</v>
      </c>
      <c r="S8" s="1">
        <v>0</v>
      </c>
      <c r="T8" s="10"/>
      <c r="U8" s="2"/>
      <c r="V8" s="1">
        <v>0</v>
      </c>
      <c r="W8" s="1">
        <v>0</v>
      </c>
      <c r="X8" s="1">
        <v>0</v>
      </c>
      <c r="Y8" s="1">
        <v>0</v>
      </c>
      <c r="Z8" s="1">
        <v>0</v>
      </c>
      <c r="AA8" s="10"/>
      <c r="AB8" s="2"/>
      <c r="AC8" s="1">
        <v>0</v>
      </c>
      <c r="AD8" s="1">
        <v>0</v>
      </c>
      <c r="AE8" s="1">
        <v>0</v>
      </c>
      <c r="AF8" s="1">
        <v>0</v>
      </c>
      <c r="AG8" s="2"/>
      <c r="AH8" s="10"/>
    </row>
    <row r="9" spans="1:34">
      <c r="A9" s="1">
        <v>7</v>
      </c>
      <c r="B9" s="1" t="s">
        <v>9</v>
      </c>
      <c r="C9" s="1">
        <f t="shared" si="0"/>
        <v>0</v>
      </c>
      <c r="D9" s="2"/>
      <c r="E9" s="1">
        <v>0</v>
      </c>
      <c r="F9" s="2"/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2"/>
      <c r="N9" s="2"/>
      <c r="O9" s="1">
        <v>0</v>
      </c>
      <c r="P9" s="1">
        <v>0</v>
      </c>
      <c r="Q9" s="1">
        <v>0</v>
      </c>
      <c r="R9" s="1">
        <v>0</v>
      </c>
      <c r="S9" s="1">
        <v>0</v>
      </c>
      <c r="T9" s="2"/>
      <c r="U9" s="2"/>
      <c r="V9" s="1">
        <v>0</v>
      </c>
      <c r="W9" s="1">
        <v>0</v>
      </c>
      <c r="X9" s="1">
        <v>0</v>
      </c>
      <c r="Y9" s="1">
        <v>0</v>
      </c>
      <c r="Z9" s="1">
        <v>0</v>
      </c>
      <c r="AA9" s="2"/>
      <c r="AB9" s="2"/>
      <c r="AC9" s="1">
        <v>0</v>
      </c>
      <c r="AD9" s="1">
        <v>0</v>
      </c>
      <c r="AE9" s="1">
        <v>0</v>
      </c>
      <c r="AF9" s="1">
        <v>0</v>
      </c>
      <c r="AG9" s="2"/>
      <c r="AH9" s="2"/>
    </row>
    <row r="10" spans="1:34">
      <c r="A10" s="1">
        <v>8</v>
      </c>
      <c r="B10" s="1" t="s">
        <v>10</v>
      </c>
      <c r="C10" s="1">
        <f>SUM(D10:AG10)</f>
        <v>0</v>
      </c>
      <c r="D10" s="2"/>
      <c r="E10" s="1">
        <v>0</v>
      </c>
      <c r="F10" s="2"/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2"/>
      <c r="N10" s="2"/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2"/>
      <c r="U10" s="2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1">
        <v>0</v>
      </c>
      <c r="AD10" s="1">
        <v>0</v>
      </c>
      <c r="AE10" s="1">
        <v>0</v>
      </c>
      <c r="AF10" s="1">
        <v>0</v>
      </c>
      <c r="AG10" s="2"/>
      <c r="AH10" s="2"/>
    </row>
    <row r="11" spans="1:34">
      <c r="A11" s="1">
        <v>9</v>
      </c>
      <c r="B11" s="1" t="s">
        <v>11</v>
      </c>
      <c r="C11" s="1">
        <f>SUM(D11:AH11)</f>
        <v>0</v>
      </c>
      <c r="D11" s="2"/>
      <c r="E11" s="1">
        <v>0</v>
      </c>
      <c r="F11" s="2"/>
      <c r="G11" s="2"/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2"/>
      <c r="N11" s="2"/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2"/>
      <c r="U11" s="2"/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1">
        <v>0</v>
      </c>
      <c r="AD11" s="1">
        <v>0</v>
      </c>
      <c r="AE11" s="1">
        <v>0</v>
      </c>
      <c r="AF11" s="1">
        <v>0</v>
      </c>
      <c r="AG11" s="2"/>
      <c r="AH11" s="2"/>
    </row>
    <row r="12" spans="1:34">
      <c r="A12" s="1">
        <v>10</v>
      </c>
      <c r="B12" s="1" t="s">
        <v>12</v>
      </c>
      <c r="C12" s="1">
        <f>SUM(D12:AH12)</f>
        <v>24</v>
      </c>
      <c r="D12" s="2"/>
      <c r="E12" s="1">
        <v>16</v>
      </c>
      <c r="F12" s="2"/>
      <c r="G12" s="2"/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2"/>
      <c r="N12" s="2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2"/>
      <c r="U12" s="2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1">
        <v>0</v>
      </c>
      <c r="AD12" s="1">
        <v>0</v>
      </c>
      <c r="AE12" s="1">
        <v>0</v>
      </c>
      <c r="AF12" s="1">
        <v>8</v>
      </c>
      <c r="AG12" s="2"/>
      <c r="AH12" s="2"/>
    </row>
    <row r="13" spans="1:34">
      <c r="A13" s="1">
        <v>11</v>
      </c>
      <c r="B13" s="1" t="s">
        <v>13</v>
      </c>
      <c r="C13" s="1">
        <f>SUM(D13:AG13)</f>
        <v>24</v>
      </c>
      <c r="D13" s="2"/>
      <c r="E13" s="1">
        <v>0</v>
      </c>
      <c r="F13" s="2"/>
      <c r="G13" s="2"/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2"/>
      <c r="N13" s="2"/>
      <c r="O13" s="1">
        <v>0</v>
      </c>
      <c r="P13" s="1">
        <v>0</v>
      </c>
      <c r="Q13" s="1">
        <v>0</v>
      </c>
      <c r="R13" s="1">
        <v>0</v>
      </c>
      <c r="S13" s="1">
        <v>2</v>
      </c>
      <c r="T13" s="2"/>
      <c r="U13" s="2"/>
      <c r="V13" s="1">
        <v>0</v>
      </c>
      <c r="W13" s="1">
        <v>16</v>
      </c>
      <c r="X13" s="1">
        <v>0</v>
      </c>
      <c r="Y13" s="1">
        <v>6</v>
      </c>
      <c r="Z13" s="1">
        <v>0</v>
      </c>
      <c r="AA13" s="2"/>
      <c r="AB13" s="2"/>
      <c r="AC13" s="1">
        <v>0</v>
      </c>
      <c r="AD13" s="1">
        <v>0</v>
      </c>
      <c r="AE13" s="1">
        <v>0</v>
      </c>
      <c r="AF13" s="1">
        <v>0</v>
      </c>
      <c r="AG13" s="2"/>
      <c r="AH13" s="2"/>
    </row>
    <row r="14" spans="1:34">
      <c r="A14" s="1">
        <v>12</v>
      </c>
      <c r="B14" s="1" t="s">
        <v>14</v>
      </c>
      <c r="C14" s="1">
        <f t="shared" ref="C14:C19" si="1">SUM(D14:AH14)</f>
        <v>0</v>
      </c>
      <c r="D14" s="2"/>
      <c r="E14" s="1">
        <v>0</v>
      </c>
      <c r="F14" s="2"/>
      <c r="G14" s="2"/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2"/>
      <c r="N14" s="2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2"/>
      <c r="U14" s="2"/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1">
        <v>0</v>
      </c>
      <c r="AD14" s="1">
        <v>0</v>
      </c>
      <c r="AE14" s="1">
        <v>0</v>
      </c>
      <c r="AF14" s="1">
        <v>0</v>
      </c>
      <c r="AG14" s="2"/>
      <c r="AH14" s="2"/>
    </row>
    <row r="15" spans="1:34">
      <c r="A15" s="1">
        <v>13</v>
      </c>
      <c r="B15" s="1" t="s">
        <v>16</v>
      </c>
      <c r="C15" s="1">
        <f t="shared" si="1"/>
        <v>0</v>
      </c>
      <c r="D15" s="2"/>
      <c r="E15" s="1">
        <v>0</v>
      </c>
      <c r="F15" s="2"/>
      <c r="G15" s="2"/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2"/>
      <c r="N15" s="2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2"/>
      <c r="U15" s="2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1">
        <v>0</v>
      </c>
      <c r="AD15" s="1">
        <v>0</v>
      </c>
      <c r="AE15" s="1">
        <v>0</v>
      </c>
      <c r="AF15" s="1">
        <v>0</v>
      </c>
      <c r="AG15" s="2"/>
      <c r="AH15" s="2"/>
    </row>
    <row r="16" spans="1:34">
      <c r="A16" s="1">
        <v>14</v>
      </c>
      <c r="B16" s="1" t="s">
        <v>60</v>
      </c>
      <c r="C16" s="1">
        <f t="shared" si="1"/>
        <v>18</v>
      </c>
      <c r="D16" s="2"/>
      <c r="E16" s="1">
        <v>0</v>
      </c>
      <c r="F16" s="2"/>
      <c r="G16" s="2"/>
      <c r="H16" s="1">
        <v>2</v>
      </c>
      <c r="I16" s="1">
        <v>0</v>
      </c>
      <c r="J16" s="1">
        <v>16</v>
      </c>
      <c r="K16" s="1">
        <v>0</v>
      </c>
      <c r="L16" s="1">
        <v>0</v>
      </c>
      <c r="M16" s="2"/>
      <c r="N16" s="2"/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2"/>
      <c r="U16" s="2"/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2"/>
      <c r="AB16" s="2"/>
      <c r="AC16" s="1">
        <v>0</v>
      </c>
      <c r="AD16" s="1">
        <v>0</v>
      </c>
      <c r="AE16" s="1">
        <v>0</v>
      </c>
      <c r="AF16" s="1">
        <v>0</v>
      </c>
      <c r="AG16" s="2"/>
      <c r="AH16" s="2"/>
    </row>
    <row r="17" spans="1:34">
      <c r="A17" s="1">
        <v>15</v>
      </c>
      <c r="B17" s="1" t="s">
        <v>66</v>
      </c>
      <c r="C17" s="1">
        <f t="shared" si="1"/>
        <v>16</v>
      </c>
      <c r="D17" s="2"/>
      <c r="E17" s="1">
        <v>16</v>
      </c>
      <c r="F17" s="2"/>
      <c r="G17" s="2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2"/>
      <c r="N17" s="2"/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2"/>
      <c r="U17" s="2"/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2"/>
      <c r="AB17" s="2"/>
      <c r="AC17" s="1">
        <v>0</v>
      </c>
      <c r="AD17" s="1">
        <v>0</v>
      </c>
      <c r="AE17" s="1">
        <v>0</v>
      </c>
      <c r="AF17" s="1">
        <v>0</v>
      </c>
      <c r="AG17" s="2"/>
      <c r="AH17" s="2"/>
    </row>
    <row r="18" spans="1:34">
      <c r="A18" s="1">
        <v>16</v>
      </c>
      <c r="B18" s="1" t="s">
        <v>87</v>
      </c>
      <c r="C18" s="1">
        <f t="shared" si="1"/>
        <v>16</v>
      </c>
      <c r="D18" s="2"/>
      <c r="E18" s="1">
        <v>16</v>
      </c>
      <c r="F18" s="2"/>
      <c r="G18" s="2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2"/>
      <c r="N18" s="2"/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2"/>
      <c r="U18" s="2"/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2"/>
      <c r="AB18" s="2"/>
      <c r="AC18" s="1">
        <v>0</v>
      </c>
      <c r="AD18" s="1">
        <v>0</v>
      </c>
      <c r="AE18" s="1">
        <v>0</v>
      </c>
      <c r="AF18" s="1">
        <v>0</v>
      </c>
      <c r="AG18" s="2"/>
      <c r="AH18" s="2"/>
    </row>
    <row r="19" spans="1:34">
      <c r="A19" s="1">
        <v>17</v>
      </c>
      <c r="B19" s="1" t="s">
        <v>104</v>
      </c>
      <c r="C19" s="1">
        <f t="shared" si="1"/>
        <v>16</v>
      </c>
      <c r="D19" s="2"/>
      <c r="E19" s="1">
        <v>16</v>
      </c>
      <c r="F19" s="2"/>
      <c r="G19" s="2"/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2"/>
      <c r="N19" s="2"/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2"/>
      <c r="U19" s="2"/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2"/>
      <c r="AB19" s="2"/>
      <c r="AC19" s="1">
        <v>0</v>
      </c>
      <c r="AD19" s="1">
        <v>0</v>
      </c>
      <c r="AE19" s="1">
        <v>0</v>
      </c>
      <c r="AF19" s="1">
        <v>0</v>
      </c>
      <c r="AG19" s="2"/>
      <c r="AH19" s="2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9">
    <cfRule type="duplicateValues" dxfId="39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H20"/>
  <sheetViews>
    <sheetView zoomScaleNormal="100" workbookViewId="0">
      <selection activeCell="Z24" sqref="Z24"/>
    </sheetView>
  </sheetViews>
  <sheetFormatPr baseColWidth="10" defaultColWidth="8.83203125" defaultRowHeight="15"/>
  <cols>
    <col min="3" max="3" width="15.33203125" bestFit="1" customWidth="1"/>
    <col min="4" max="17" width="8.83203125" hidden="1" customWidth="1"/>
    <col min="18" max="18" width="7.83203125" hidden="1" customWidth="1"/>
    <col min="19" max="21" width="8.83203125" hidden="1" customWidth="1"/>
    <col min="22" max="34" width="8.83203125" customWidth="1"/>
    <col min="35" max="35" width="8.6640625" customWidth="1"/>
  </cols>
  <sheetData>
    <row r="1" spans="1:34" ht="27">
      <c r="A1" s="73" t="s">
        <v>19</v>
      </c>
      <c r="B1" s="73"/>
      <c r="C1" s="64" t="s">
        <v>40</v>
      </c>
      <c r="D1" s="68">
        <v>45413</v>
      </c>
      <c r="E1" s="68">
        <v>45414</v>
      </c>
      <c r="F1" s="68">
        <v>45415</v>
      </c>
      <c r="G1" s="68">
        <v>45416</v>
      </c>
      <c r="H1" s="68">
        <v>45417</v>
      </c>
      <c r="I1" s="68">
        <v>45418</v>
      </c>
      <c r="J1" s="68">
        <v>45419</v>
      </c>
      <c r="K1" s="68">
        <v>45420</v>
      </c>
      <c r="L1" s="68">
        <v>45421</v>
      </c>
      <c r="M1" s="68">
        <v>45422</v>
      </c>
      <c r="N1" s="68">
        <v>45423</v>
      </c>
      <c r="O1" s="68">
        <v>45424</v>
      </c>
      <c r="P1" s="68">
        <v>45425</v>
      </c>
      <c r="Q1" s="68">
        <v>45426</v>
      </c>
      <c r="R1" s="68">
        <v>45427</v>
      </c>
      <c r="S1" s="68">
        <v>45428</v>
      </c>
      <c r="T1" s="68">
        <v>45429</v>
      </c>
      <c r="U1" s="68">
        <v>45430</v>
      </c>
      <c r="V1" s="68">
        <v>45431</v>
      </c>
      <c r="W1" s="68">
        <v>45432</v>
      </c>
      <c r="X1" s="68">
        <v>45433</v>
      </c>
      <c r="Y1" s="68">
        <v>45434</v>
      </c>
      <c r="Z1" s="68">
        <v>45435</v>
      </c>
      <c r="AA1" s="68">
        <v>45436</v>
      </c>
      <c r="AB1" s="68">
        <v>45437</v>
      </c>
      <c r="AC1" s="68">
        <v>45438</v>
      </c>
      <c r="AD1" s="68">
        <v>45439</v>
      </c>
      <c r="AE1" s="68">
        <v>45440</v>
      </c>
      <c r="AF1" s="68">
        <v>45441</v>
      </c>
      <c r="AG1" s="68">
        <v>45442</v>
      </c>
      <c r="AH1" s="68">
        <v>45443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27" t="s">
        <v>3</v>
      </c>
      <c r="C3" s="1">
        <f t="shared" ref="C3:C9" si="0">SUM(D3:AH3)</f>
        <v>0</v>
      </c>
      <c r="D3" s="2"/>
      <c r="E3" s="1">
        <v>0</v>
      </c>
      <c r="F3" s="2"/>
      <c r="G3" s="2"/>
      <c r="H3" s="1">
        <v>0</v>
      </c>
      <c r="I3" s="1">
        <v>0</v>
      </c>
      <c r="J3" s="1">
        <v>0</v>
      </c>
      <c r="K3" s="1">
        <v>0</v>
      </c>
      <c r="L3" s="1">
        <v>0</v>
      </c>
      <c r="M3" s="2"/>
      <c r="N3" s="2"/>
      <c r="O3" s="1">
        <v>0</v>
      </c>
      <c r="P3" s="1">
        <v>0</v>
      </c>
      <c r="Q3" s="1">
        <v>0</v>
      </c>
      <c r="R3" s="1">
        <v>0</v>
      </c>
      <c r="S3" s="1">
        <v>0</v>
      </c>
      <c r="T3" s="2"/>
      <c r="U3" s="2"/>
      <c r="V3" s="1">
        <v>0</v>
      </c>
      <c r="W3" s="1">
        <v>0</v>
      </c>
      <c r="X3" s="1">
        <v>0</v>
      </c>
      <c r="Y3" s="1">
        <v>0</v>
      </c>
      <c r="Z3" s="1">
        <v>0</v>
      </c>
      <c r="AA3" s="2"/>
      <c r="AB3" s="2"/>
      <c r="AC3" s="1">
        <v>0</v>
      </c>
      <c r="AD3" s="1">
        <v>0</v>
      </c>
      <c r="AE3" s="1">
        <v>0</v>
      </c>
      <c r="AF3" s="1">
        <v>0</v>
      </c>
      <c r="AG3" s="2"/>
      <c r="AH3" s="2"/>
    </row>
    <row r="4" spans="1:34">
      <c r="A4" s="1">
        <v>2</v>
      </c>
      <c r="B4" s="1" t="s">
        <v>4</v>
      </c>
      <c r="C4" s="1">
        <f t="shared" si="0"/>
        <v>17</v>
      </c>
      <c r="D4" s="2"/>
      <c r="E4" s="1">
        <v>0</v>
      </c>
      <c r="F4" s="2"/>
      <c r="G4" s="2"/>
      <c r="H4" s="1">
        <v>0</v>
      </c>
      <c r="I4" s="1">
        <v>0</v>
      </c>
      <c r="J4" s="1">
        <v>0</v>
      </c>
      <c r="K4" s="1">
        <v>2</v>
      </c>
      <c r="L4" s="1">
        <v>0</v>
      </c>
      <c r="M4" s="2">
        <v>4</v>
      </c>
      <c r="N4" s="2"/>
      <c r="O4" s="1">
        <v>0</v>
      </c>
      <c r="P4" s="1">
        <v>0</v>
      </c>
      <c r="Q4" s="1">
        <v>0</v>
      </c>
      <c r="R4" s="1">
        <v>2</v>
      </c>
      <c r="S4" s="1">
        <v>0</v>
      </c>
      <c r="T4" s="2">
        <v>6</v>
      </c>
      <c r="U4" s="2"/>
      <c r="V4" s="1">
        <v>0</v>
      </c>
      <c r="W4" s="1">
        <v>1</v>
      </c>
      <c r="X4" s="1">
        <v>1</v>
      </c>
      <c r="Y4" s="1">
        <v>1</v>
      </c>
      <c r="Z4" s="1">
        <v>0</v>
      </c>
      <c r="AA4" s="2"/>
      <c r="AB4" s="2"/>
      <c r="AC4" s="1">
        <v>0</v>
      </c>
      <c r="AD4" s="1">
        <v>0</v>
      </c>
      <c r="AE4" s="1">
        <v>0</v>
      </c>
      <c r="AF4" s="1">
        <v>0</v>
      </c>
      <c r="AG4" s="2"/>
      <c r="AH4" s="2"/>
    </row>
    <row r="5" spans="1:34">
      <c r="A5" s="1">
        <v>3</v>
      </c>
      <c r="B5" s="1" t="s">
        <v>5</v>
      </c>
      <c r="C5" s="1">
        <f t="shared" si="0"/>
        <v>0</v>
      </c>
      <c r="D5" s="2"/>
      <c r="E5" s="1">
        <v>0</v>
      </c>
      <c r="F5" s="2"/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2"/>
      <c r="N5" s="2"/>
      <c r="O5" s="1">
        <v>0</v>
      </c>
      <c r="P5" s="1">
        <v>0</v>
      </c>
      <c r="Q5" s="1">
        <v>0</v>
      </c>
      <c r="R5" s="1">
        <v>0</v>
      </c>
      <c r="S5" s="1">
        <v>0</v>
      </c>
      <c r="T5" s="2"/>
      <c r="U5" s="2"/>
      <c r="V5" s="1">
        <v>0</v>
      </c>
      <c r="W5" s="1">
        <v>0</v>
      </c>
      <c r="X5" s="1">
        <v>0</v>
      </c>
      <c r="Y5" s="1">
        <v>0</v>
      </c>
      <c r="Z5" s="1">
        <v>0</v>
      </c>
      <c r="AA5" s="2"/>
      <c r="AB5" s="2"/>
      <c r="AC5" s="1">
        <v>0</v>
      </c>
      <c r="AD5" s="1">
        <v>0</v>
      </c>
      <c r="AE5" s="1">
        <v>0</v>
      </c>
      <c r="AF5" s="1">
        <v>0</v>
      </c>
      <c r="AG5" s="2"/>
      <c r="AH5" s="2"/>
    </row>
    <row r="6" spans="1:34" ht="16.5" customHeight="1">
      <c r="A6" s="1">
        <v>4</v>
      </c>
      <c r="B6" s="1" t="s">
        <v>6</v>
      </c>
      <c r="C6" s="1">
        <f t="shared" si="0"/>
        <v>12</v>
      </c>
      <c r="D6" s="2"/>
      <c r="E6" s="1">
        <v>0</v>
      </c>
      <c r="F6" s="2"/>
      <c r="G6" s="2"/>
      <c r="H6" s="1">
        <v>0</v>
      </c>
      <c r="I6" s="1">
        <v>1</v>
      </c>
      <c r="J6" s="1">
        <v>0</v>
      </c>
      <c r="K6" s="1">
        <v>0</v>
      </c>
      <c r="L6" s="1">
        <v>0</v>
      </c>
      <c r="M6" s="2"/>
      <c r="N6" s="2"/>
      <c r="O6" s="1">
        <v>0</v>
      </c>
      <c r="P6" s="1">
        <v>0</v>
      </c>
      <c r="Q6" s="1">
        <v>2</v>
      </c>
      <c r="R6" s="1">
        <v>2</v>
      </c>
      <c r="S6" s="1">
        <v>0</v>
      </c>
      <c r="T6" s="2"/>
      <c r="U6" s="2"/>
      <c r="V6" s="1">
        <v>0</v>
      </c>
      <c r="W6" s="1">
        <v>1</v>
      </c>
      <c r="X6" s="1">
        <v>0</v>
      </c>
      <c r="Y6" s="1">
        <v>0</v>
      </c>
      <c r="Z6" s="1">
        <v>0</v>
      </c>
      <c r="AA6" s="2"/>
      <c r="AB6" s="2"/>
      <c r="AC6" s="1">
        <v>0</v>
      </c>
      <c r="AD6" s="1">
        <v>3</v>
      </c>
      <c r="AE6" s="1">
        <v>3</v>
      </c>
      <c r="AF6" s="1">
        <v>0</v>
      </c>
      <c r="AG6" s="2"/>
      <c r="AH6" s="2"/>
    </row>
    <row r="7" spans="1:34">
      <c r="A7" s="1">
        <v>5</v>
      </c>
      <c r="B7" s="27" t="s">
        <v>7</v>
      </c>
      <c r="C7" s="1">
        <f t="shared" si="0"/>
        <v>53</v>
      </c>
      <c r="D7" s="2"/>
      <c r="E7" s="1">
        <v>0</v>
      </c>
      <c r="F7" s="2"/>
      <c r="G7" s="2"/>
      <c r="H7" s="1">
        <v>0</v>
      </c>
      <c r="I7" s="1">
        <v>0</v>
      </c>
      <c r="J7" s="1">
        <v>0</v>
      </c>
      <c r="K7" s="1">
        <v>2</v>
      </c>
      <c r="L7" s="1">
        <v>0</v>
      </c>
      <c r="M7" s="2"/>
      <c r="N7" s="2"/>
      <c r="O7" s="1">
        <v>0</v>
      </c>
      <c r="P7" s="1">
        <v>0</v>
      </c>
      <c r="Q7" s="1">
        <v>2</v>
      </c>
      <c r="R7" s="1">
        <v>0</v>
      </c>
      <c r="S7" s="1">
        <v>9</v>
      </c>
      <c r="T7" s="2"/>
      <c r="U7" s="2"/>
      <c r="V7" s="1">
        <v>4</v>
      </c>
      <c r="W7" s="1">
        <v>2</v>
      </c>
      <c r="X7" s="1">
        <v>0</v>
      </c>
      <c r="Y7" s="1">
        <v>0</v>
      </c>
      <c r="Z7" s="1">
        <v>4</v>
      </c>
      <c r="AA7" s="2"/>
      <c r="AB7" s="2"/>
      <c r="AC7" s="1">
        <v>4</v>
      </c>
      <c r="AD7" s="1">
        <v>9</v>
      </c>
      <c r="AE7" s="1">
        <v>9</v>
      </c>
      <c r="AF7" s="1">
        <v>8</v>
      </c>
      <c r="AG7" s="2"/>
      <c r="AH7" s="2"/>
    </row>
    <row r="8" spans="1:34">
      <c r="A8" s="1">
        <v>6</v>
      </c>
      <c r="B8" s="27" t="s">
        <v>8</v>
      </c>
      <c r="C8" s="1">
        <f t="shared" si="0"/>
        <v>45</v>
      </c>
      <c r="D8" s="2"/>
      <c r="E8" s="1">
        <v>0</v>
      </c>
      <c r="F8" s="10"/>
      <c r="G8" s="2"/>
      <c r="H8" s="1">
        <v>1</v>
      </c>
      <c r="I8" s="1">
        <v>0</v>
      </c>
      <c r="J8" s="1">
        <v>2</v>
      </c>
      <c r="K8" s="1">
        <v>2</v>
      </c>
      <c r="L8" s="1">
        <v>0</v>
      </c>
      <c r="M8" s="10"/>
      <c r="N8" s="2"/>
      <c r="O8" s="1">
        <v>0</v>
      </c>
      <c r="P8" s="1">
        <v>0</v>
      </c>
      <c r="Q8" s="1">
        <v>2</v>
      </c>
      <c r="R8" s="1">
        <v>8</v>
      </c>
      <c r="S8" s="1">
        <v>0</v>
      </c>
      <c r="T8" s="10"/>
      <c r="U8" s="2"/>
      <c r="V8" s="1">
        <v>0</v>
      </c>
      <c r="W8" s="1">
        <v>2</v>
      </c>
      <c r="X8" s="1">
        <v>4</v>
      </c>
      <c r="Y8" s="1">
        <v>8</v>
      </c>
      <c r="Z8" s="1">
        <v>2</v>
      </c>
      <c r="AA8" s="10"/>
      <c r="AB8" s="2"/>
      <c r="AC8" s="1">
        <v>0</v>
      </c>
      <c r="AD8" s="1">
        <v>4</v>
      </c>
      <c r="AE8" s="1">
        <v>0</v>
      </c>
      <c r="AF8" s="1">
        <v>10</v>
      </c>
      <c r="AG8" s="2"/>
      <c r="AH8" s="10"/>
    </row>
    <row r="9" spans="1:34">
      <c r="A9" s="1">
        <v>7</v>
      </c>
      <c r="B9" s="1" t="s">
        <v>9</v>
      </c>
      <c r="C9" s="1">
        <f t="shared" si="0"/>
        <v>20</v>
      </c>
      <c r="D9" s="2"/>
      <c r="E9" s="1">
        <v>0</v>
      </c>
      <c r="F9" s="2"/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2"/>
      <c r="N9" s="2"/>
      <c r="O9" s="1">
        <v>0</v>
      </c>
      <c r="P9" s="1">
        <v>0</v>
      </c>
      <c r="Q9" s="1">
        <v>0</v>
      </c>
      <c r="R9" s="1">
        <v>0</v>
      </c>
      <c r="S9" s="1">
        <v>0</v>
      </c>
      <c r="T9" s="2"/>
      <c r="U9" s="2"/>
      <c r="V9" s="1">
        <v>3</v>
      </c>
      <c r="W9" s="1">
        <v>3</v>
      </c>
      <c r="X9" s="1">
        <v>1</v>
      </c>
      <c r="Y9" s="1">
        <v>6</v>
      </c>
      <c r="Z9" s="1">
        <v>1</v>
      </c>
      <c r="AA9" s="2"/>
      <c r="AB9" s="2"/>
      <c r="AC9" s="1">
        <v>0</v>
      </c>
      <c r="AD9" s="1">
        <v>3</v>
      </c>
      <c r="AE9" s="1">
        <v>3</v>
      </c>
      <c r="AF9" s="1">
        <v>0</v>
      </c>
      <c r="AG9" s="2"/>
      <c r="AH9" s="2"/>
    </row>
    <row r="10" spans="1:34">
      <c r="A10" s="1">
        <v>8</v>
      </c>
      <c r="B10" s="27" t="s">
        <v>10</v>
      </c>
      <c r="C10" s="1">
        <f>SUM(D10:AG10)</f>
        <v>30</v>
      </c>
      <c r="D10" s="2"/>
      <c r="E10" s="1">
        <v>0</v>
      </c>
      <c r="F10" s="2"/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2"/>
      <c r="N10" s="2"/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2"/>
      <c r="U10" s="2"/>
      <c r="V10" s="1">
        <v>4</v>
      </c>
      <c r="W10" s="1">
        <v>0</v>
      </c>
      <c r="X10" s="1">
        <v>4</v>
      </c>
      <c r="Y10" s="1">
        <v>4</v>
      </c>
      <c r="Z10" s="1">
        <v>0</v>
      </c>
      <c r="AA10" s="2"/>
      <c r="AB10" s="2"/>
      <c r="AC10" s="1">
        <v>4</v>
      </c>
      <c r="AD10" s="1">
        <v>4</v>
      </c>
      <c r="AE10" s="1">
        <v>4</v>
      </c>
      <c r="AF10" s="1">
        <v>6</v>
      </c>
      <c r="AG10" s="2"/>
      <c r="AH10" s="2"/>
    </row>
    <row r="11" spans="1:34">
      <c r="A11" s="1">
        <v>9</v>
      </c>
      <c r="B11" s="27" t="s">
        <v>11</v>
      </c>
      <c r="C11" s="1">
        <f t="shared" ref="C11:C20" si="1">SUM(D11:AH11)</f>
        <v>24</v>
      </c>
      <c r="D11" s="2"/>
      <c r="E11" s="1">
        <v>0</v>
      </c>
      <c r="F11" s="2"/>
      <c r="G11" s="2"/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2"/>
      <c r="N11" s="2"/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2"/>
      <c r="U11" s="2"/>
      <c r="V11" s="1">
        <v>0</v>
      </c>
      <c r="W11" s="1">
        <v>0</v>
      </c>
      <c r="X11" s="1">
        <v>4</v>
      </c>
      <c r="Y11" s="1">
        <v>0</v>
      </c>
      <c r="Z11" s="1">
        <v>8</v>
      </c>
      <c r="AA11" s="2"/>
      <c r="AB11" s="2"/>
      <c r="AC11" s="1">
        <v>0</v>
      </c>
      <c r="AD11" s="1">
        <v>2</v>
      </c>
      <c r="AE11" s="1">
        <v>0</v>
      </c>
      <c r="AF11" s="1">
        <v>10</v>
      </c>
      <c r="AG11" s="2"/>
      <c r="AH11" s="2"/>
    </row>
    <row r="12" spans="1:34">
      <c r="A12" s="1">
        <v>10</v>
      </c>
      <c r="B12" s="1" t="s">
        <v>12</v>
      </c>
      <c r="C12" s="1">
        <f t="shared" si="1"/>
        <v>6</v>
      </c>
      <c r="D12" s="2"/>
      <c r="E12" s="1">
        <v>0</v>
      </c>
      <c r="F12" s="2"/>
      <c r="G12" s="2"/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2"/>
      <c r="N12" s="2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2"/>
      <c r="U12" s="2"/>
      <c r="V12" s="1">
        <v>0</v>
      </c>
      <c r="W12" s="1">
        <v>1</v>
      </c>
      <c r="X12" s="1">
        <v>1</v>
      </c>
      <c r="Y12" s="1">
        <v>1</v>
      </c>
      <c r="Z12" s="1">
        <v>1</v>
      </c>
      <c r="AA12" s="2"/>
      <c r="AB12" s="2"/>
      <c r="AC12" s="1">
        <v>1</v>
      </c>
      <c r="AD12" s="1">
        <v>1</v>
      </c>
      <c r="AE12" s="1">
        <v>0</v>
      </c>
      <c r="AF12" s="1">
        <v>0</v>
      </c>
      <c r="AG12" s="2"/>
      <c r="AH12" s="2"/>
    </row>
    <row r="13" spans="1:34">
      <c r="A13" s="1">
        <v>11</v>
      </c>
      <c r="B13" s="1" t="s">
        <v>13</v>
      </c>
      <c r="C13" s="1">
        <f t="shared" si="1"/>
        <v>4</v>
      </c>
      <c r="D13" s="2"/>
      <c r="E13" s="1">
        <v>0</v>
      </c>
      <c r="F13" s="2"/>
      <c r="G13" s="2"/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2"/>
      <c r="N13" s="2"/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2"/>
      <c r="U13" s="2"/>
      <c r="V13" s="1">
        <v>1</v>
      </c>
      <c r="W13" s="1">
        <v>0</v>
      </c>
      <c r="X13" s="1">
        <v>1</v>
      </c>
      <c r="Y13" s="1">
        <v>0</v>
      </c>
      <c r="Z13" s="1">
        <v>0</v>
      </c>
      <c r="AA13" s="2"/>
      <c r="AB13" s="2"/>
      <c r="AC13" s="1">
        <v>1</v>
      </c>
      <c r="AD13" s="1">
        <v>1</v>
      </c>
      <c r="AE13" s="1">
        <v>0</v>
      </c>
      <c r="AF13" s="1">
        <v>0</v>
      </c>
      <c r="AG13" s="2"/>
      <c r="AH13" s="2"/>
    </row>
    <row r="14" spans="1:34">
      <c r="A14" s="1">
        <v>12</v>
      </c>
      <c r="B14" s="1" t="s">
        <v>14</v>
      </c>
      <c r="C14" s="1">
        <f t="shared" si="1"/>
        <v>20</v>
      </c>
      <c r="D14" s="2"/>
      <c r="E14" s="1">
        <v>0</v>
      </c>
      <c r="F14" s="2"/>
      <c r="G14" s="2"/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2"/>
      <c r="N14" s="2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2"/>
      <c r="U14" s="2"/>
      <c r="V14" s="1">
        <v>3</v>
      </c>
      <c r="W14" s="1">
        <v>3</v>
      </c>
      <c r="X14" s="1">
        <v>1</v>
      </c>
      <c r="Y14" s="1">
        <v>6</v>
      </c>
      <c r="Z14" s="1">
        <v>1</v>
      </c>
      <c r="AA14" s="2"/>
      <c r="AB14" s="2"/>
      <c r="AC14" s="1">
        <v>0</v>
      </c>
      <c r="AD14" s="1">
        <v>3</v>
      </c>
      <c r="AE14" s="1">
        <v>3</v>
      </c>
      <c r="AF14" s="1">
        <v>0</v>
      </c>
      <c r="AG14" s="2"/>
      <c r="AH14" s="2"/>
    </row>
    <row r="15" spans="1:34">
      <c r="A15" s="1">
        <v>13</v>
      </c>
      <c r="B15" s="27" t="s">
        <v>16</v>
      </c>
      <c r="C15" s="1">
        <f t="shared" si="1"/>
        <v>40</v>
      </c>
      <c r="D15" s="2"/>
      <c r="E15" s="1">
        <v>0</v>
      </c>
      <c r="F15" s="2"/>
      <c r="G15" s="2"/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2"/>
      <c r="N15" s="2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2"/>
      <c r="U15" s="2"/>
      <c r="V15" s="1">
        <v>0</v>
      </c>
      <c r="W15" s="1">
        <v>4</v>
      </c>
      <c r="X15" s="1">
        <v>4</v>
      </c>
      <c r="Y15" s="1">
        <v>0</v>
      </c>
      <c r="Z15" s="1">
        <v>2</v>
      </c>
      <c r="AA15" s="2"/>
      <c r="AB15" s="2"/>
      <c r="AC15" s="1">
        <v>0</v>
      </c>
      <c r="AD15" s="1">
        <v>12</v>
      </c>
      <c r="AE15" s="1">
        <v>8</v>
      </c>
      <c r="AF15" s="1">
        <v>10</v>
      </c>
      <c r="AG15" s="2"/>
      <c r="AH15" s="2"/>
    </row>
    <row r="16" spans="1:34">
      <c r="A16" s="1">
        <v>14</v>
      </c>
      <c r="B16" s="27" t="s">
        <v>60</v>
      </c>
      <c r="C16" s="1">
        <f t="shared" si="1"/>
        <v>72</v>
      </c>
      <c r="D16" s="2"/>
      <c r="E16" s="1">
        <v>0</v>
      </c>
      <c r="F16" s="2"/>
      <c r="G16" s="2"/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2"/>
      <c r="N16" s="2"/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2"/>
      <c r="U16" s="2"/>
      <c r="V16" s="1">
        <v>0</v>
      </c>
      <c r="W16" s="1">
        <v>0</v>
      </c>
      <c r="X16" s="1">
        <v>4</v>
      </c>
      <c r="Y16" s="1">
        <v>0</v>
      </c>
      <c r="Z16" s="1">
        <v>8</v>
      </c>
      <c r="AA16" s="2"/>
      <c r="AB16" s="2"/>
      <c r="AC16" s="1">
        <v>0</v>
      </c>
      <c r="AD16" s="1">
        <v>2</v>
      </c>
      <c r="AE16" s="1">
        <v>0</v>
      </c>
      <c r="AF16" s="1">
        <v>10</v>
      </c>
      <c r="AG16" s="2">
        <v>24</v>
      </c>
      <c r="AH16" s="2">
        <v>24</v>
      </c>
    </row>
    <row r="17" spans="1:34">
      <c r="A17" s="1">
        <v>15</v>
      </c>
      <c r="B17" s="1" t="s">
        <v>66</v>
      </c>
      <c r="C17" s="1">
        <f t="shared" si="1"/>
        <v>0</v>
      </c>
      <c r="D17" s="2"/>
      <c r="E17" s="1">
        <v>0</v>
      </c>
      <c r="F17" s="2"/>
      <c r="G17" s="2"/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2"/>
      <c r="N17" s="2"/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2"/>
      <c r="U17" s="2"/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2"/>
      <c r="AB17" s="2"/>
      <c r="AC17" s="1">
        <v>0</v>
      </c>
      <c r="AD17" s="1">
        <v>0</v>
      </c>
      <c r="AE17" s="1">
        <v>0</v>
      </c>
      <c r="AF17" s="1">
        <v>0</v>
      </c>
      <c r="AG17" s="2"/>
      <c r="AH17" s="2"/>
    </row>
    <row r="18" spans="1:34">
      <c r="A18" s="1">
        <v>16</v>
      </c>
      <c r="B18" s="27" t="s">
        <v>87</v>
      </c>
      <c r="C18" s="1">
        <f t="shared" si="1"/>
        <v>38</v>
      </c>
      <c r="D18" s="2"/>
      <c r="E18" s="1">
        <v>0</v>
      </c>
      <c r="F18" s="2"/>
      <c r="G18" s="2"/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2"/>
      <c r="N18" s="2"/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2"/>
      <c r="U18" s="2"/>
      <c r="V18" s="1">
        <v>4</v>
      </c>
      <c r="W18" s="1">
        <v>0</v>
      </c>
      <c r="X18" s="1">
        <v>0</v>
      </c>
      <c r="Y18" s="1">
        <v>0</v>
      </c>
      <c r="Z18" s="1">
        <v>4</v>
      </c>
      <c r="AA18" s="2"/>
      <c r="AB18" s="2"/>
      <c r="AC18" s="1">
        <v>4</v>
      </c>
      <c r="AD18" s="1">
        <v>9</v>
      </c>
      <c r="AE18" s="1">
        <v>9</v>
      </c>
      <c r="AF18" s="1">
        <v>8</v>
      </c>
      <c r="AG18" s="2"/>
      <c r="AH18" s="2"/>
    </row>
    <row r="19" spans="1:34">
      <c r="A19" s="1">
        <v>17</v>
      </c>
      <c r="B19" s="1" t="s">
        <v>104</v>
      </c>
      <c r="C19" s="1">
        <f t="shared" si="1"/>
        <v>0</v>
      </c>
      <c r="D19" s="2"/>
      <c r="E19" s="1">
        <v>0</v>
      </c>
      <c r="F19" s="2"/>
      <c r="G19" s="2"/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2"/>
      <c r="N19" s="2"/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2"/>
      <c r="U19" s="2"/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2"/>
      <c r="AB19" s="2"/>
      <c r="AC19" s="1">
        <v>0</v>
      </c>
      <c r="AD19" s="1">
        <v>0</v>
      </c>
      <c r="AE19" s="1">
        <v>0</v>
      </c>
      <c r="AF19" s="1">
        <v>0</v>
      </c>
      <c r="AG19" s="2"/>
      <c r="AH19" s="2"/>
    </row>
    <row r="20" spans="1:34">
      <c r="B20" s="31" t="s">
        <v>134</v>
      </c>
      <c r="C20" s="26">
        <f t="shared" si="1"/>
        <v>30</v>
      </c>
      <c r="D20" s="2"/>
      <c r="E20" s="1">
        <v>0</v>
      </c>
      <c r="F20" s="2"/>
      <c r="G20" s="2"/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2"/>
      <c r="N20" s="2"/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2"/>
      <c r="U20" s="2"/>
      <c r="V20" s="1">
        <v>4</v>
      </c>
      <c r="W20" s="30">
        <v>0</v>
      </c>
      <c r="X20" s="30">
        <v>4</v>
      </c>
      <c r="Y20" s="30">
        <v>4</v>
      </c>
      <c r="Z20" s="1">
        <v>0</v>
      </c>
      <c r="AC20" s="1">
        <v>4</v>
      </c>
      <c r="AD20" s="1">
        <v>4</v>
      </c>
      <c r="AE20" s="1">
        <v>4</v>
      </c>
      <c r="AF20" s="1">
        <v>6</v>
      </c>
      <c r="AH20" s="2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 B20">
    <cfRule type="duplicateValues" dxfId="38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30"/>
  <sheetViews>
    <sheetView zoomScaleNormal="100" workbookViewId="0">
      <selection activeCell="AF3" sqref="AF3:AF19"/>
    </sheetView>
  </sheetViews>
  <sheetFormatPr baseColWidth="10" defaultColWidth="8.83203125" defaultRowHeight="15"/>
  <cols>
    <col min="3" max="31" width="8.83203125" hidden="1" customWidth="1"/>
    <col min="32" max="32" width="8.83203125" customWidth="1"/>
    <col min="33" max="33" width="8.83203125" hidden="1" customWidth="1"/>
  </cols>
  <sheetData>
    <row r="1" spans="1:33" ht="27">
      <c r="A1" s="70" t="s">
        <v>0</v>
      </c>
      <c r="B1" s="70"/>
      <c r="C1" s="68">
        <v>45444</v>
      </c>
      <c r="D1" s="68">
        <v>45445</v>
      </c>
      <c r="E1" s="68">
        <v>45446</v>
      </c>
      <c r="F1" s="68">
        <v>45447</v>
      </c>
      <c r="G1" s="68">
        <v>45448</v>
      </c>
      <c r="H1" s="68">
        <v>45449</v>
      </c>
      <c r="I1" s="68">
        <v>45450</v>
      </c>
      <c r="J1" s="68">
        <v>45451</v>
      </c>
      <c r="K1" s="68">
        <v>45452</v>
      </c>
      <c r="L1" s="68">
        <v>45453</v>
      </c>
      <c r="M1" s="68">
        <v>45454</v>
      </c>
      <c r="N1" s="68">
        <v>45455</v>
      </c>
      <c r="O1" s="68">
        <v>45456</v>
      </c>
      <c r="P1" s="68">
        <v>45457</v>
      </c>
      <c r="Q1" s="68">
        <v>45458</v>
      </c>
      <c r="R1" s="68">
        <v>45459</v>
      </c>
      <c r="S1" s="68">
        <v>45460</v>
      </c>
      <c r="T1" s="68">
        <v>45461</v>
      </c>
      <c r="U1" s="68">
        <v>45462</v>
      </c>
      <c r="V1" s="68">
        <v>45463</v>
      </c>
      <c r="W1" s="68">
        <v>45464</v>
      </c>
      <c r="X1" s="68">
        <v>45465</v>
      </c>
      <c r="Y1" s="68">
        <v>45466</v>
      </c>
      <c r="Z1" s="68">
        <v>45467</v>
      </c>
      <c r="AA1" s="68">
        <v>45468</v>
      </c>
      <c r="AB1" s="68">
        <v>45469</v>
      </c>
      <c r="AC1" s="68">
        <v>45470</v>
      </c>
      <c r="AD1" s="68">
        <v>45471</v>
      </c>
      <c r="AE1" s="68">
        <v>45472</v>
      </c>
      <c r="AF1" s="68">
        <v>45473</v>
      </c>
      <c r="AG1" s="68"/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18">
      <c r="A3" s="1">
        <v>1</v>
      </c>
      <c r="B3" s="1" t="s">
        <v>3</v>
      </c>
      <c r="C3" s="2"/>
      <c r="D3" s="16" t="s">
        <v>25</v>
      </c>
      <c r="E3" s="16" t="s">
        <v>25</v>
      </c>
      <c r="F3" s="1" t="s">
        <v>50</v>
      </c>
      <c r="G3" s="16" t="s">
        <v>25</v>
      </c>
      <c r="H3" s="16" t="s">
        <v>25</v>
      </c>
      <c r="I3" s="2"/>
      <c r="J3" s="2"/>
      <c r="K3" s="4" t="s">
        <v>50</v>
      </c>
      <c r="L3" s="16" t="s">
        <v>25</v>
      </c>
      <c r="M3" s="1" t="s">
        <v>136</v>
      </c>
      <c r="N3" s="1" t="s">
        <v>92</v>
      </c>
      <c r="O3" s="1" t="s">
        <v>92</v>
      </c>
      <c r="P3" s="2"/>
      <c r="Q3" s="2"/>
      <c r="R3" s="1" t="s">
        <v>92</v>
      </c>
      <c r="S3" s="1" t="s">
        <v>92</v>
      </c>
      <c r="T3" s="1" t="s">
        <v>92</v>
      </c>
      <c r="U3" s="1" t="s">
        <v>92</v>
      </c>
      <c r="V3" s="1" t="s">
        <v>92</v>
      </c>
      <c r="W3" s="2"/>
      <c r="X3" s="2"/>
      <c r="Y3" s="1" t="s">
        <v>92</v>
      </c>
      <c r="Z3" s="1" t="s">
        <v>92</v>
      </c>
      <c r="AA3" s="1" t="s">
        <v>92</v>
      </c>
      <c r="AB3" s="1" t="s">
        <v>92</v>
      </c>
      <c r="AC3" s="1" t="s">
        <v>92</v>
      </c>
      <c r="AD3" s="2"/>
      <c r="AE3" s="2"/>
      <c r="AF3" s="16" t="s">
        <v>25</v>
      </c>
      <c r="AG3" s="1"/>
    </row>
    <row r="4" spans="1:33" ht="18">
      <c r="A4" s="1">
        <v>2</v>
      </c>
      <c r="B4" s="1" t="s">
        <v>4</v>
      </c>
      <c r="C4" s="2"/>
      <c r="D4" s="16" t="s">
        <v>25</v>
      </c>
      <c r="E4" s="16" t="s">
        <v>25</v>
      </c>
      <c r="F4" s="16" t="s">
        <v>25</v>
      </c>
      <c r="G4" s="16" t="s">
        <v>25</v>
      </c>
      <c r="H4" s="1" t="s">
        <v>30</v>
      </c>
      <c r="I4" s="2"/>
      <c r="J4" s="2"/>
      <c r="K4" s="16" t="s">
        <v>25</v>
      </c>
      <c r="L4" s="16" t="s">
        <v>25</v>
      </c>
      <c r="M4" s="1" t="s">
        <v>105</v>
      </c>
      <c r="N4" s="16" t="s">
        <v>25</v>
      </c>
      <c r="O4" s="1" t="s">
        <v>92</v>
      </c>
      <c r="P4" s="2"/>
      <c r="Q4" s="2"/>
      <c r="R4" s="1" t="s">
        <v>92</v>
      </c>
      <c r="S4" s="1" t="s">
        <v>92</v>
      </c>
      <c r="T4" s="1" t="s">
        <v>92</v>
      </c>
      <c r="U4" s="1" t="s">
        <v>92</v>
      </c>
      <c r="V4" s="1" t="s">
        <v>92</v>
      </c>
      <c r="W4" s="2"/>
      <c r="X4" s="2"/>
      <c r="Y4" s="1" t="s">
        <v>92</v>
      </c>
      <c r="Z4" s="1" t="s">
        <v>92</v>
      </c>
      <c r="AA4" s="1" t="s">
        <v>92</v>
      </c>
      <c r="AB4" s="1" t="s">
        <v>92</v>
      </c>
      <c r="AC4" s="1" t="s">
        <v>92</v>
      </c>
      <c r="AD4" s="2"/>
      <c r="AE4" s="2"/>
      <c r="AF4" s="1" t="s">
        <v>92</v>
      </c>
      <c r="AG4" s="1"/>
    </row>
    <row r="5" spans="1:33" ht="18">
      <c r="A5" s="1">
        <v>3</v>
      </c>
      <c r="B5" s="1" t="s">
        <v>5</v>
      </c>
      <c r="C5" s="2"/>
      <c r="D5" s="16" t="s">
        <v>25</v>
      </c>
      <c r="E5" s="16" t="s">
        <v>25</v>
      </c>
      <c r="F5" s="1" t="s">
        <v>30</v>
      </c>
      <c r="G5" s="16" t="s">
        <v>25</v>
      </c>
      <c r="H5" s="16" t="s">
        <v>25</v>
      </c>
      <c r="I5" s="2"/>
      <c r="J5" s="2"/>
      <c r="K5" s="17" t="s">
        <v>132</v>
      </c>
      <c r="L5" s="16" t="s">
        <v>25</v>
      </c>
      <c r="M5" s="16" t="s">
        <v>25</v>
      </c>
      <c r="N5" s="16" t="s">
        <v>25</v>
      </c>
      <c r="O5" s="16" t="s">
        <v>25</v>
      </c>
      <c r="P5" s="2"/>
      <c r="Q5" s="2"/>
      <c r="R5" s="16" t="s">
        <v>50</v>
      </c>
      <c r="S5" s="16" t="s">
        <v>25</v>
      </c>
      <c r="T5" s="16" t="s">
        <v>25</v>
      </c>
      <c r="U5" s="16" t="s">
        <v>25</v>
      </c>
      <c r="V5" s="16" t="s">
        <v>25</v>
      </c>
      <c r="W5" s="2"/>
      <c r="X5" s="2"/>
      <c r="Y5" s="16" t="s">
        <v>25</v>
      </c>
      <c r="Z5" s="16" t="s">
        <v>25</v>
      </c>
      <c r="AA5" s="16" t="s">
        <v>25</v>
      </c>
      <c r="AB5" s="16" t="s">
        <v>25</v>
      </c>
      <c r="AC5" s="16" t="s">
        <v>25</v>
      </c>
      <c r="AD5" s="2"/>
      <c r="AE5" s="2"/>
      <c r="AF5" s="16" t="s">
        <v>25</v>
      </c>
      <c r="AG5" s="1"/>
    </row>
    <row r="6" spans="1:33" ht="18">
      <c r="A6" s="1">
        <v>4</v>
      </c>
      <c r="B6" s="1" t="s">
        <v>6</v>
      </c>
      <c r="C6" s="2"/>
      <c r="D6" s="1" t="s">
        <v>92</v>
      </c>
      <c r="E6" s="1" t="s">
        <v>92</v>
      </c>
      <c r="F6" s="1" t="s">
        <v>92</v>
      </c>
      <c r="G6" s="1" t="s">
        <v>92</v>
      </c>
      <c r="H6" s="1" t="s">
        <v>92</v>
      </c>
      <c r="I6" s="10"/>
      <c r="J6" s="10"/>
      <c r="K6" s="1" t="s">
        <v>92</v>
      </c>
      <c r="L6" s="1" t="s">
        <v>92</v>
      </c>
      <c r="M6" s="1" t="s">
        <v>92</v>
      </c>
      <c r="N6" s="1" t="s">
        <v>92</v>
      </c>
      <c r="O6" s="1" t="s">
        <v>92</v>
      </c>
      <c r="P6" s="2"/>
      <c r="Q6" s="2"/>
      <c r="R6" s="16" t="s">
        <v>25</v>
      </c>
      <c r="S6" s="16" t="s">
        <v>25</v>
      </c>
      <c r="T6" s="16" t="s">
        <v>25</v>
      </c>
      <c r="U6" s="16" t="s">
        <v>25</v>
      </c>
      <c r="V6" s="1" t="s">
        <v>62</v>
      </c>
      <c r="W6" s="2"/>
      <c r="X6" s="2"/>
      <c r="Y6" s="16" t="s">
        <v>50</v>
      </c>
      <c r="Z6" s="1" t="s">
        <v>62</v>
      </c>
      <c r="AA6" s="16" t="s">
        <v>50</v>
      </c>
      <c r="AB6" s="16" t="s">
        <v>25</v>
      </c>
      <c r="AC6" s="16" t="s">
        <v>25</v>
      </c>
      <c r="AD6" s="2"/>
      <c r="AE6" s="2"/>
      <c r="AF6" s="16" t="s">
        <v>25</v>
      </c>
      <c r="AG6" s="1"/>
    </row>
    <row r="7" spans="1:33" ht="18">
      <c r="A7" s="1">
        <v>5</v>
      </c>
      <c r="B7" s="1" t="s">
        <v>7</v>
      </c>
      <c r="C7" s="2"/>
      <c r="D7" s="16" t="s">
        <v>25</v>
      </c>
      <c r="E7" s="16" t="s">
        <v>25</v>
      </c>
      <c r="F7" s="16" t="s">
        <v>25</v>
      </c>
      <c r="G7" s="1" t="s">
        <v>50</v>
      </c>
      <c r="H7" s="1" t="s">
        <v>92</v>
      </c>
      <c r="I7" s="2"/>
      <c r="J7" s="2"/>
      <c r="K7" s="1" t="s">
        <v>92</v>
      </c>
      <c r="L7" s="1" t="s">
        <v>92</v>
      </c>
      <c r="M7" s="1" t="s">
        <v>92</v>
      </c>
      <c r="N7" s="1" t="s">
        <v>92</v>
      </c>
      <c r="O7" s="1" t="s">
        <v>92</v>
      </c>
      <c r="P7" s="2"/>
      <c r="Q7" s="2"/>
      <c r="R7" s="1" t="s">
        <v>92</v>
      </c>
      <c r="S7" s="1" t="s">
        <v>92</v>
      </c>
      <c r="T7" s="1" t="s">
        <v>92</v>
      </c>
      <c r="U7" s="1" t="s">
        <v>92</v>
      </c>
      <c r="V7" s="1" t="s">
        <v>92</v>
      </c>
      <c r="W7" s="2"/>
      <c r="X7" s="2"/>
      <c r="Y7" s="1" t="s">
        <v>92</v>
      </c>
      <c r="Z7" s="1" t="s">
        <v>92</v>
      </c>
      <c r="AA7" s="1" t="s">
        <v>92</v>
      </c>
      <c r="AB7" s="1" t="s">
        <v>92</v>
      </c>
      <c r="AC7" s="1" t="s">
        <v>92</v>
      </c>
      <c r="AD7" s="2"/>
      <c r="AE7" s="2"/>
      <c r="AF7" s="16" t="s">
        <v>25</v>
      </c>
      <c r="AG7" s="1"/>
    </row>
    <row r="8" spans="1:33" ht="18">
      <c r="A8" s="1">
        <v>6</v>
      </c>
      <c r="B8" s="1" t="s">
        <v>8</v>
      </c>
      <c r="C8" s="2"/>
      <c r="D8" s="1" t="s">
        <v>92</v>
      </c>
      <c r="E8" s="1" t="s">
        <v>92</v>
      </c>
      <c r="F8" s="1" t="s">
        <v>92</v>
      </c>
      <c r="G8" s="1" t="s">
        <v>92</v>
      </c>
      <c r="H8" s="1" t="s">
        <v>92</v>
      </c>
      <c r="I8" s="10"/>
      <c r="J8" s="10"/>
      <c r="K8" s="1" t="s">
        <v>92</v>
      </c>
      <c r="L8" s="1" t="s">
        <v>92</v>
      </c>
      <c r="M8" s="1" t="s">
        <v>92</v>
      </c>
      <c r="N8" s="1" t="s">
        <v>92</v>
      </c>
      <c r="O8" s="1" t="s">
        <v>92</v>
      </c>
      <c r="P8" s="10"/>
      <c r="Q8" s="10"/>
      <c r="R8" s="1" t="s">
        <v>92</v>
      </c>
      <c r="S8" s="1" t="s">
        <v>92</v>
      </c>
      <c r="T8" s="1" t="s">
        <v>92</v>
      </c>
      <c r="U8" s="1" t="s">
        <v>92</v>
      </c>
      <c r="V8" s="1" t="s">
        <v>92</v>
      </c>
      <c r="W8" s="10"/>
      <c r="X8" s="10"/>
      <c r="Y8" s="1" t="s">
        <v>92</v>
      </c>
      <c r="Z8" s="1" t="s">
        <v>92</v>
      </c>
      <c r="AA8" s="1" t="s">
        <v>92</v>
      </c>
      <c r="AB8" s="1" t="s">
        <v>92</v>
      </c>
      <c r="AC8" s="1" t="s">
        <v>92</v>
      </c>
      <c r="AD8" s="10"/>
      <c r="AE8" s="10"/>
      <c r="AF8" s="16" t="s">
        <v>25</v>
      </c>
      <c r="AG8" s="1"/>
    </row>
    <row r="9" spans="1:33" ht="18">
      <c r="A9" s="1">
        <v>7</v>
      </c>
      <c r="B9" s="1" t="s">
        <v>9</v>
      </c>
      <c r="C9" s="2"/>
      <c r="D9" s="1" t="s">
        <v>92</v>
      </c>
      <c r="E9" s="1" t="s">
        <v>92</v>
      </c>
      <c r="F9" s="1" t="s">
        <v>92</v>
      </c>
      <c r="G9" s="1" t="s">
        <v>92</v>
      </c>
      <c r="H9" s="1" t="s">
        <v>92</v>
      </c>
      <c r="I9" s="10"/>
      <c r="J9" s="10"/>
      <c r="K9" s="1" t="s">
        <v>92</v>
      </c>
      <c r="L9" s="1" t="s">
        <v>92</v>
      </c>
      <c r="M9" s="1" t="s">
        <v>92</v>
      </c>
      <c r="N9" s="1" t="s">
        <v>92</v>
      </c>
      <c r="O9" s="1" t="s">
        <v>92</v>
      </c>
      <c r="P9" s="2"/>
      <c r="Q9" s="2"/>
      <c r="R9" s="16" t="s">
        <v>25</v>
      </c>
      <c r="S9" s="16" t="s">
        <v>25</v>
      </c>
      <c r="T9" s="16" t="s">
        <v>25</v>
      </c>
      <c r="U9" s="16" t="s">
        <v>25</v>
      </c>
      <c r="V9" s="16" t="s">
        <v>25</v>
      </c>
      <c r="W9" s="2"/>
      <c r="X9" s="2"/>
      <c r="Y9" s="16" t="s">
        <v>25</v>
      </c>
      <c r="Z9" s="16" t="s">
        <v>25</v>
      </c>
      <c r="AA9" s="16" t="s">
        <v>25</v>
      </c>
      <c r="AB9" s="16" t="s">
        <v>25</v>
      </c>
      <c r="AC9" s="16" t="s">
        <v>25</v>
      </c>
      <c r="AD9" s="2"/>
      <c r="AE9" s="2"/>
      <c r="AF9" s="16" t="s">
        <v>25</v>
      </c>
      <c r="AG9" s="1"/>
    </row>
    <row r="10" spans="1:33" ht="18">
      <c r="A10" s="1">
        <v>8</v>
      </c>
      <c r="B10" s="1" t="s">
        <v>10</v>
      </c>
      <c r="C10" s="2"/>
      <c r="D10" s="1" t="s">
        <v>92</v>
      </c>
      <c r="E10" s="1" t="s">
        <v>92</v>
      </c>
      <c r="F10" s="1" t="s">
        <v>92</v>
      </c>
      <c r="G10" s="1" t="s">
        <v>92</v>
      </c>
      <c r="H10" s="1" t="s">
        <v>92</v>
      </c>
      <c r="I10" s="13"/>
      <c r="J10" s="13"/>
      <c r="K10" s="1" t="s">
        <v>92</v>
      </c>
      <c r="L10" s="1" t="s">
        <v>92</v>
      </c>
      <c r="M10" s="1" t="s">
        <v>92</v>
      </c>
      <c r="N10" s="1" t="s">
        <v>92</v>
      </c>
      <c r="O10" s="1" t="s">
        <v>92</v>
      </c>
      <c r="P10" s="13"/>
      <c r="Q10" s="13"/>
      <c r="R10" s="1" t="s">
        <v>92</v>
      </c>
      <c r="S10" s="1" t="s">
        <v>92</v>
      </c>
      <c r="T10" s="1" t="s">
        <v>92</v>
      </c>
      <c r="U10" s="1" t="s">
        <v>92</v>
      </c>
      <c r="V10" s="1" t="s">
        <v>92</v>
      </c>
      <c r="W10" s="13"/>
      <c r="X10" s="13"/>
      <c r="Y10" s="1" t="s">
        <v>92</v>
      </c>
      <c r="Z10" s="1" t="s">
        <v>92</v>
      </c>
      <c r="AA10" s="1" t="s">
        <v>92</v>
      </c>
      <c r="AB10" s="1" t="s">
        <v>92</v>
      </c>
      <c r="AC10" s="1" t="s">
        <v>92</v>
      </c>
      <c r="AD10" s="13"/>
      <c r="AE10" s="13"/>
      <c r="AF10" s="16" t="s">
        <v>25</v>
      </c>
      <c r="AG10" s="1"/>
    </row>
    <row r="11" spans="1:33" ht="18">
      <c r="A11" s="1">
        <v>9</v>
      </c>
      <c r="B11" s="1" t="s">
        <v>11</v>
      </c>
      <c r="C11" s="2"/>
      <c r="D11" s="1" t="s">
        <v>92</v>
      </c>
      <c r="E11" s="1" t="s">
        <v>92</v>
      </c>
      <c r="F11" s="1" t="s">
        <v>92</v>
      </c>
      <c r="G11" s="1" t="s">
        <v>92</v>
      </c>
      <c r="H11" s="1" t="s">
        <v>92</v>
      </c>
      <c r="I11" s="2"/>
      <c r="J11" s="2"/>
      <c r="K11" s="4" t="s">
        <v>50</v>
      </c>
      <c r="L11" s="16" t="s">
        <v>25</v>
      </c>
      <c r="M11" s="16" t="s">
        <v>25</v>
      </c>
      <c r="N11" s="16" t="s">
        <v>25</v>
      </c>
      <c r="O11" s="16" t="s">
        <v>25</v>
      </c>
      <c r="P11" s="2"/>
      <c r="Q11" s="2"/>
      <c r="R11" s="16" t="s">
        <v>25</v>
      </c>
      <c r="S11" s="16" t="s">
        <v>25</v>
      </c>
      <c r="T11" s="1" t="s">
        <v>30</v>
      </c>
      <c r="U11" s="16" t="s">
        <v>25</v>
      </c>
      <c r="V11" s="16" t="s">
        <v>25</v>
      </c>
      <c r="W11" s="2"/>
      <c r="X11" s="2"/>
      <c r="Y11" s="16" t="s">
        <v>25</v>
      </c>
      <c r="Z11" s="16" t="s">
        <v>25</v>
      </c>
      <c r="AA11" s="16" t="s">
        <v>25</v>
      </c>
      <c r="AB11" s="16" t="s">
        <v>25</v>
      </c>
      <c r="AC11" s="16" t="s">
        <v>25</v>
      </c>
      <c r="AD11" s="2"/>
      <c r="AE11" s="2"/>
      <c r="AF11" s="16" t="s">
        <v>25</v>
      </c>
      <c r="AG11" s="1"/>
    </row>
    <row r="12" spans="1:33" ht="18">
      <c r="A12" s="1">
        <v>10</v>
      </c>
      <c r="B12" s="1" t="s">
        <v>12</v>
      </c>
      <c r="C12" s="2"/>
      <c r="D12" s="16" t="s">
        <v>25</v>
      </c>
      <c r="E12" s="16" t="s">
        <v>25</v>
      </c>
      <c r="F12" s="16" t="s">
        <v>25</v>
      </c>
      <c r="G12" s="16" t="s">
        <v>25</v>
      </c>
      <c r="H12" s="16" t="s">
        <v>25</v>
      </c>
      <c r="I12" s="2"/>
      <c r="J12" s="2"/>
      <c r="K12" s="16" t="s">
        <v>25</v>
      </c>
      <c r="L12" s="16" t="s">
        <v>25</v>
      </c>
      <c r="M12" s="16" t="s">
        <v>25</v>
      </c>
      <c r="N12" s="16" t="s">
        <v>25</v>
      </c>
      <c r="O12" s="16" t="s">
        <v>25</v>
      </c>
      <c r="P12" s="2"/>
      <c r="Q12" s="2"/>
      <c r="R12" s="16" t="s">
        <v>25</v>
      </c>
      <c r="S12" s="16" t="s">
        <v>25</v>
      </c>
      <c r="T12" s="16" t="s">
        <v>25</v>
      </c>
      <c r="U12" s="16" t="s">
        <v>25</v>
      </c>
      <c r="V12" s="16" t="s">
        <v>25</v>
      </c>
      <c r="W12" s="2"/>
      <c r="X12" s="2"/>
      <c r="Y12" s="16" t="s">
        <v>25</v>
      </c>
      <c r="Z12" s="16" t="s">
        <v>25</v>
      </c>
      <c r="AA12" s="16" t="s">
        <v>25</v>
      </c>
      <c r="AB12" s="16" t="s">
        <v>25</v>
      </c>
      <c r="AC12" s="16" t="s">
        <v>25</v>
      </c>
      <c r="AD12" s="2"/>
      <c r="AE12" s="2"/>
      <c r="AF12" s="16" t="s">
        <v>25</v>
      </c>
      <c r="AG12" s="1"/>
    </row>
    <row r="13" spans="1:33" ht="18">
      <c r="A13" s="1">
        <v>11</v>
      </c>
      <c r="B13" s="1" t="s">
        <v>13</v>
      </c>
      <c r="C13" s="2"/>
      <c r="D13" s="16" t="s">
        <v>25</v>
      </c>
      <c r="E13" s="16" t="s">
        <v>25</v>
      </c>
      <c r="F13" s="16" t="s">
        <v>25</v>
      </c>
      <c r="G13" s="16" t="s">
        <v>25</v>
      </c>
      <c r="H13" s="16" t="s">
        <v>25</v>
      </c>
      <c r="I13" s="2"/>
      <c r="J13" s="2"/>
      <c r="K13" s="16" t="s">
        <v>25</v>
      </c>
      <c r="L13" s="16" t="s">
        <v>25</v>
      </c>
      <c r="M13" s="16" t="s">
        <v>25</v>
      </c>
      <c r="N13" s="16" t="s">
        <v>25</v>
      </c>
      <c r="O13" s="1" t="s">
        <v>92</v>
      </c>
      <c r="P13" s="2"/>
      <c r="Q13" s="2"/>
      <c r="R13" s="1" t="s">
        <v>92</v>
      </c>
      <c r="S13" s="1" t="s">
        <v>92</v>
      </c>
      <c r="T13" s="1" t="s">
        <v>92</v>
      </c>
      <c r="U13" s="1" t="s">
        <v>92</v>
      </c>
      <c r="V13" s="1" t="s">
        <v>92</v>
      </c>
      <c r="W13" s="2"/>
      <c r="X13" s="2"/>
      <c r="Y13" s="1" t="s">
        <v>92</v>
      </c>
      <c r="Z13" s="1" t="s">
        <v>92</v>
      </c>
      <c r="AA13" s="1" t="s">
        <v>92</v>
      </c>
      <c r="AB13" s="1" t="s">
        <v>92</v>
      </c>
      <c r="AC13" s="1" t="s">
        <v>92</v>
      </c>
      <c r="AD13" s="2"/>
      <c r="AE13" s="2"/>
      <c r="AF13" s="1" t="s">
        <v>92</v>
      </c>
      <c r="AG13" s="1"/>
    </row>
    <row r="14" spans="1:33" ht="18">
      <c r="A14" s="1">
        <v>12</v>
      </c>
      <c r="B14" s="1" t="s">
        <v>14</v>
      </c>
      <c r="C14" s="2"/>
      <c r="D14" s="1" t="s">
        <v>92</v>
      </c>
      <c r="E14" s="1" t="s">
        <v>92</v>
      </c>
      <c r="F14" s="1" t="s">
        <v>92</v>
      </c>
      <c r="G14" s="1" t="s">
        <v>92</v>
      </c>
      <c r="H14" s="1" t="s">
        <v>92</v>
      </c>
      <c r="I14" s="10"/>
      <c r="J14" s="10"/>
      <c r="K14" s="1" t="s">
        <v>92</v>
      </c>
      <c r="L14" s="1" t="s">
        <v>92</v>
      </c>
      <c r="M14" s="1" t="s">
        <v>92</v>
      </c>
      <c r="N14" s="1" t="s">
        <v>92</v>
      </c>
      <c r="O14" s="1" t="s">
        <v>92</v>
      </c>
      <c r="P14" s="2"/>
      <c r="Q14" s="2"/>
      <c r="R14" s="16" t="s">
        <v>25</v>
      </c>
      <c r="S14" s="16" t="s">
        <v>25</v>
      </c>
      <c r="T14" s="16" t="s">
        <v>25</v>
      </c>
      <c r="U14" s="16" t="s">
        <v>25</v>
      </c>
      <c r="V14" s="16" t="s">
        <v>25</v>
      </c>
      <c r="W14" s="2"/>
      <c r="X14" s="2"/>
      <c r="Y14" s="16" t="s">
        <v>25</v>
      </c>
      <c r="Z14" s="16" t="s">
        <v>25</v>
      </c>
      <c r="AA14" s="16" t="s">
        <v>25</v>
      </c>
      <c r="AB14" s="16" t="s">
        <v>25</v>
      </c>
      <c r="AC14" s="16" t="s">
        <v>25</v>
      </c>
      <c r="AD14" s="2"/>
      <c r="AE14" s="2"/>
      <c r="AF14" s="16" t="s">
        <v>25</v>
      </c>
      <c r="AG14" s="1"/>
    </row>
    <row r="15" spans="1:33" ht="18">
      <c r="A15" s="1">
        <v>13</v>
      </c>
      <c r="B15" s="1" t="s">
        <v>16</v>
      </c>
      <c r="C15" s="2"/>
      <c r="D15" s="1" t="s">
        <v>92</v>
      </c>
      <c r="E15" s="1" t="s">
        <v>92</v>
      </c>
      <c r="F15" s="1" t="s">
        <v>92</v>
      </c>
      <c r="G15" s="1" t="s">
        <v>92</v>
      </c>
      <c r="H15" s="1" t="s">
        <v>92</v>
      </c>
      <c r="I15" s="2"/>
      <c r="J15" s="2"/>
      <c r="K15" s="1" t="s">
        <v>92</v>
      </c>
      <c r="L15" s="1" t="s">
        <v>92</v>
      </c>
      <c r="M15" s="1" t="s">
        <v>92</v>
      </c>
      <c r="N15" s="1" t="s">
        <v>92</v>
      </c>
      <c r="O15" s="1" t="s">
        <v>92</v>
      </c>
      <c r="P15" s="2"/>
      <c r="Q15" s="2"/>
      <c r="R15" s="1" t="s">
        <v>92</v>
      </c>
      <c r="S15" s="1" t="s">
        <v>92</v>
      </c>
      <c r="T15" s="1" t="s">
        <v>92</v>
      </c>
      <c r="U15" s="1" t="s">
        <v>92</v>
      </c>
      <c r="V15" s="1" t="s">
        <v>92</v>
      </c>
      <c r="W15" s="2"/>
      <c r="X15" s="2"/>
      <c r="Y15" s="1" t="s">
        <v>92</v>
      </c>
      <c r="Z15" s="1" t="s">
        <v>92</v>
      </c>
      <c r="AA15" s="1" t="s">
        <v>92</v>
      </c>
      <c r="AB15" s="1" t="s">
        <v>92</v>
      </c>
      <c r="AC15" s="1" t="s">
        <v>92</v>
      </c>
      <c r="AD15" s="2"/>
      <c r="AE15" s="2"/>
      <c r="AF15" s="16" t="s">
        <v>25</v>
      </c>
      <c r="AG15" s="1"/>
    </row>
    <row r="16" spans="1:33" ht="18">
      <c r="A16" s="1">
        <v>14</v>
      </c>
      <c r="B16" s="1" t="s">
        <v>60</v>
      </c>
      <c r="C16" s="2"/>
      <c r="D16" s="1" t="s">
        <v>92</v>
      </c>
      <c r="E16" s="1" t="s">
        <v>92</v>
      </c>
      <c r="F16" s="1" t="s">
        <v>92</v>
      </c>
      <c r="G16" s="1" t="s">
        <v>92</v>
      </c>
      <c r="H16" s="1" t="s">
        <v>92</v>
      </c>
      <c r="I16" s="2"/>
      <c r="J16" s="2"/>
      <c r="K16" s="1" t="s">
        <v>92</v>
      </c>
      <c r="L16" s="1" t="s">
        <v>92</v>
      </c>
      <c r="M16" s="1" t="s">
        <v>92</v>
      </c>
      <c r="N16" s="1" t="s">
        <v>92</v>
      </c>
      <c r="O16" s="1" t="s">
        <v>92</v>
      </c>
      <c r="P16" s="2"/>
      <c r="Q16" s="2"/>
      <c r="R16" s="1" t="s">
        <v>92</v>
      </c>
      <c r="S16" s="1" t="s">
        <v>92</v>
      </c>
      <c r="T16" s="1" t="s">
        <v>92</v>
      </c>
      <c r="U16" s="1" t="s">
        <v>92</v>
      </c>
      <c r="V16" s="1" t="s">
        <v>92</v>
      </c>
      <c r="W16" s="2"/>
      <c r="X16" s="2"/>
      <c r="Y16" s="1" t="s">
        <v>92</v>
      </c>
      <c r="Z16" s="1" t="s">
        <v>92</v>
      </c>
      <c r="AA16" s="1" t="s">
        <v>92</v>
      </c>
      <c r="AB16" s="1" t="s">
        <v>92</v>
      </c>
      <c r="AC16" s="1" t="s">
        <v>92</v>
      </c>
      <c r="AD16" s="2"/>
      <c r="AE16" s="2"/>
      <c r="AF16" s="16" t="s">
        <v>30</v>
      </c>
      <c r="AG16" s="1"/>
    </row>
    <row r="17" spans="1:33" ht="18">
      <c r="A17" s="1">
        <v>15</v>
      </c>
      <c r="B17" s="1" t="s">
        <v>66</v>
      </c>
      <c r="C17" s="2"/>
      <c r="D17" s="1" t="s">
        <v>92</v>
      </c>
      <c r="E17" s="16" t="s">
        <v>25</v>
      </c>
      <c r="F17" s="16" t="s">
        <v>25</v>
      </c>
      <c r="G17" s="16" t="s">
        <v>25</v>
      </c>
      <c r="H17" s="16" t="s">
        <v>25</v>
      </c>
      <c r="I17" s="2"/>
      <c r="J17" s="2"/>
      <c r="K17" s="16" t="s">
        <v>25</v>
      </c>
      <c r="L17" s="16" t="s">
        <v>25</v>
      </c>
      <c r="M17" s="16" t="s">
        <v>25</v>
      </c>
      <c r="N17" s="16" t="s">
        <v>25</v>
      </c>
      <c r="O17" s="1" t="s">
        <v>50</v>
      </c>
      <c r="P17" s="2"/>
      <c r="Q17" s="2"/>
      <c r="R17" s="16" t="s">
        <v>25</v>
      </c>
      <c r="S17" s="16" t="s">
        <v>25</v>
      </c>
      <c r="T17" s="16" t="s">
        <v>25</v>
      </c>
      <c r="U17" s="16" t="s">
        <v>25</v>
      </c>
      <c r="V17" s="16" t="s">
        <v>25</v>
      </c>
      <c r="W17" s="2"/>
      <c r="X17" s="2"/>
      <c r="Y17" s="16" t="s">
        <v>25</v>
      </c>
      <c r="Z17" s="16" t="s">
        <v>25</v>
      </c>
      <c r="AA17" s="16" t="s">
        <v>25</v>
      </c>
      <c r="AB17" s="16" t="s">
        <v>25</v>
      </c>
      <c r="AC17" s="16" t="s">
        <v>25</v>
      </c>
      <c r="AD17" s="2"/>
      <c r="AE17" s="2"/>
      <c r="AF17" s="1" t="s">
        <v>92</v>
      </c>
      <c r="AG17" s="1"/>
    </row>
    <row r="18" spans="1:33" ht="18">
      <c r="A18" s="1">
        <v>16</v>
      </c>
      <c r="B18" s="1" t="s">
        <v>87</v>
      </c>
      <c r="C18" s="2"/>
      <c r="D18" s="16" t="s">
        <v>25</v>
      </c>
      <c r="E18" s="16" t="s">
        <v>25</v>
      </c>
      <c r="F18" s="16" t="s">
        <v>25</v>
      </c>
      <c r="G18" s="16" t="s">
        <v>25</v>
      </c>
      <c r="H18" s="1" t="s">
        <v>92</v>
      </c>
      <c r="I18" s="2"/>
      <c r="J18" s="2"/>
      <c r="K18" s="1" t="s">
        <v>92</v>
      </c>
      <c r="L18" s="1" t="s">
        <v>92</v>
      </c>
      <c r="M18" s="1" t="s">
        <v>92</v>
      </c>
      <c r="N18" s="1" t="s">
        <v>92</v>
      </c>
      <c r="O18" s="1" t="s">
        <v>92</v>
      </c>
      <c r="P18" s="2"/>
      <c r="Q18" s="2"/>
      <c r="R18" s="1" t="s">
        <v>92</v>
      </c>
      <c r="S18" s="1" t="s">
        <v>92</v>
      </c>
      <c r="T18" s="1" t="s">
        <v>92</v>
      </c>
      <c r="U18" s="1" t="s">
        <v>92</v>
      </c>
      <c r="V18" s="1" t="s">
        <v>92</v>
      </c>
      <c r="W18" s="2"/>
      <c r="X18" s="2"/>
      <c r="Y18" s="1" t="s">
        <v>92</v>
      </c>
      <c r="Z18" s="1" t="s">
        <v>92</v>
      </c>
      <c r="AA18" s="1" t="s">
        <v>92</v>
      </c>
      <c r="AB18" s="1" t="s">
        <v>92</v>
      </c>
      <c r="AC18" s="1" t="s">
        <v>92</v>
      </c>
      <c r="AD18" s="2"/>
      <c r="AE18" s="2"/>
      <c r="AF18" s="16" t="s">
        <v>25</v>
      </c>
      <c r="AG18" s="1"/>
    </row>
    <row r="19" spans="1:33" ht="18">
      <c r="A19" s="1">
        <v>17</v>
      </c>
      <c r="B19" s="1" t="s">
        <v>104</v>
      </c>
      <c r="C19" s="2"/>
      <c r="D19" s="1" t="s">
        <v>92</v>
      </c>
      <c r="E19" s="16" t="s">
        <v>25</v>
      </c>
      <c r="F19" s="16" t="s">
        <v>25</v>
      </c>
      <c r="G19" s="16" t="s">
        <v>25</v>
      </c>
      <c r="H19" s="16" t="s">
        <v>25</v>
      </c>
      <c r="I19" s="2"/>
      <c r="J19" s="2"/>
      <c r="K19" s="16" t="s">
        <v>25</v>
      </c>
      <c r="L19" s="16" t="s">
        <v>25</v>
      </c>
      <c r="M19" s="16" t="s">
        <v>25</v>
      </c>
      <c r="N19" s="16" t="s">
        <v>25</v>
      </c>
      <c r="O19" s="16" t="s">
        <v>25</v>
      </c>
      <c r="P19" s="2"/>
      <c r="Q19" s="2"/>
      <c r="R19" s="16" t="s">
        <v>25</v>
      </c>
      <c r="S19" s="16" t="s">
        <v>25</v>
      </c>
      <c r="T19" s="16" t="s">
        <v>25</v>
      </c>
      <c r="U19" s="16" t="s">
        <v>25</v>
      </c>
      <c r="V19" s="16" t="s">
        <v>25</v>
      </c>
      <c r="W19" s="2"/>
      <c r="X19" s="2"/>
      <c r="Y19" s="16" t="s">
        <v>25</v>
      </c>
      <c r="Z19" s="16" t="s">
        <v>25</v>
      </c>
      <c r="AA19" s="16" t="s">
        <v>25</v>
      </c>
      <c r="AB19" s="16" t="s">
        <v>25</v>
      </c>
      <c r="AC19" s="16" t="s">
        <v>25</v>
      </c>
      <c r="AD19" s="2"/>
      <c r="AE19" s="2"/>
      <c r="AF19" s="1" t="s">
        <v>92</v>
      </c>
      <c r="AG19" s="1"/>
    </row>
    <row r="20" spans="1:33">
      <c r="A20" s="5" t="s">
        <v>25</v>
      </c>
      <c r="B20" t="s">
        <v>23</v>
      </c>
    </row>
    <row r="21" spans="1:33">
      <c r="A21" s="4" t="s">
        <v>50</v>
      </c>
      <c r="B21" t="s">
        <v>24</v>
      </c>
    </row>
    <row r="22" spans="1:33">
      <c r="A22" s="7" t="s">
        <v>30</v>
      </c>
      <c r="B22" s="6" t="s">
        <v>29</v>
      </c>
    </row>
    <row r="24" spans="1:33">
      <c r="A24" s="11" t="s">
        <v>43</v>
      </c>
    </row>
    <row r="25" spans="1:33">
      <c r="A25" s="12" t="s">
        <v>44</v>
      </c>
    </row>
    <row r="26" spans="1:33">
      <c r="A26" s="12" t="s">
        <v>45</v>
      </c>
    </row>
    <row r="27" spans="1:33">
      <c r="A27" s="12" t="s">
        <v>41</v>
      </c>
    </row>
    <row r="28" spans="1:33">
      <c r="A28" s="12" t="s">
        <v>46</v>
      </c>
    </row>
    <row r="29" spans="1:33">
      <c r="A29" s="12" t="s">
        <v>47</v>
      </c>
    </row>
    <row r="30" spans="1:33">
      <c r="A30" s="12" t="s">
        <v>42</v>
      </c>
    </row>
  </sheetData>
  <mergeCells count="32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9">
    <cfRule type="duplicateValues" dxfId="37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H20"/>
  <sheetViews>
    <sheetView zoomScale="85" zoomScaleNormal="85" workbookViewId="0">
      <selection activeCell="F28" sqref="F28"/>
    </sheetView>
  </sheetViews>
  <sheetFormatPr baseColWidth="10" defaultColWidth="8.83203125" defaultRowHeight="15"/>
  <cols>
    <col min="3" max="3" width="15.33203125" customWidth="1"/>
    <col min="4" max="8" width="8.83203125" customWidth="1"/>
    <col min="9" max="9" width="9.1640625" customWidth="1"/>
    <col min="10" max="33" width="8.83203125" customWidth="1"/>
  </cols>
  <sheetData>
    <row r="1" spans="1:34" ht="27">
      <c r="A1" s="71" t="s">
        <v>17</v>
      </c>
      <c r="B1" s="71"/>
      <c r="C1" s="64" t="s">
        <v>48</v>
      </c>
      <c r="D1" s="68">
        <v>45444</v>
      </c>
      <c r="E1" s="68">
        <v>45445</v>
      </c>
      <c r="F1" s="68">
        <v>45446</v>
      </c>
      <c r="G1" s="68">
        <v>45447</v>
      </c>
      <c r="H1" s="68">
        <v>45448</v>
      </c>
      <c r="I1" s="68">
        <v>45449</v>
      </c>
      <c r="J1" s="68">
        <v>45450</v>
      </c>
      <c r="K1" s="68">
        <v>45451</v>
      </c>
      <c r="L1" s="68">
        <v>45452</v>
      </c>
      <c r="M1" s="68">
        <v>45453</v>
      </c>
      <c r="N1" s="68">
        <v>45454</v>
      </c>
      <c r="O1" s="68">
        <v>45455</v>
      </c>
      <c r="P1" s="68">
        <v>45456</v>
      </c>
      <c r="Q1" s="68">
        <v>45457</v>
      </c>
      <c r="R1" s="68">
        <v>45458</v>
      </c>
      <c r="S1" s="68">
        <v>45459</v>
      </c>
      <c r="T1" s="68">
        <v>45460</v>
      </c>
      <c r="U1" s="68">
        <v>45461</v>
      </c>
      <c r="V1" s="68">
        <v>45462</v>
      </c>
      <c r="W1" s="68">
        <v>45463</v>
      </c>
      <c r="X1" s="68">
        <v>45464</v>
      </c>
      <c r="Y1" s="68">
        <v>45465</v>
      </c>
      <c r="Z1" s="68">
        <v>45466</v>
      </c>
      <c r="AA1" s="68">
        <v>45467</v>
      </c>
      <c r="AB1" s="68">
        <v>45468</v>
      </c>
      <c r="AC1" s="68">
        <v>45469</v>
      </c>
      <c r="AD1" s="68">
        <v>45470</v>
      </c>
      <c r="AE1" s="68">
        <v>45471</v>
      </c>
      <c r="AF1" s="68">
        <v>45472</v>
      </c>
      <c r="AG1" s="68">
        <v>45473</v>
      </c>
      <c r="AH1" s="68"/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SUM(D3:AG3)</f>
        <v>0</v>
      </c>
      <c r="D3" s="2"/>
      <c r="E3" s="1">
        <v>0</v>
      </c>
      <c r="F3" s="1">
        <v>0</v>
      </c>
      <c r="G3" s="1">
        <v>0</v>
      </c>
      <c r="H3" s="1">
        <v>0</v>
      </c>
      <c r="I3" s="1">
        <v>0</v>
      </c>
      <c r="J3" s="2"/>
      <c r="K3" s="2"/>
      <c r="L3" s="1">
        <v>0</v>
      </c>
      <c r="M3" s="1">
        <v>0</v>
      </c>
      <c r="N3" s="1">
        <v>0</v>
      </c>
      <c r="O3" s="1">
        <v>0</v>
      </c>
      <c r="P3" s="1">
        <v>0</v>
      </c>
      <c r="Q3" s="2"/>
      <c r="R3" s="2"/>
      <c r="S3" s="1">
        <v>0</v>
      </c>
      <c r="T3" s="1">
        <v>0</v>
      </c>
      <c r="U3" s="1">
        <v>0</v>
      </c>
      <c r="V3" s="1">
        <v>0</v>
      </c>
      <c r="W3" s="1">
        <v>0</v>
      </c>
      <c r="X3" s="2"/>
      <c r="Y3" s="2"/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/>
      <c r="AF3" s="2"/>
      <c r="AG3" s="1">
        <v>0</v>
      </c>
      <c r="AH3" s="1"/>
    </row>
    <row r="4" spans="1:34">
      <c r="A4" s="1">
        <v>2</v>
      </c>
      <c r="B4" s="1" t="s">
        <v>4</v>
      </c>
      <c r="C4" s="1">
        <f t="shared" ref="C4:C20" si="0">SUM(D4:AG4)</f>
        <v>0</v>
      </c>
      <c r="D4" s="2"/>
      <c r="E4" s="1">
        <v>0</v>
      </c>
      <c r="F4" s="1">
        <v>0</v>
      </c>
      <c r="G4" s="1">
        <v>0</v>
      </c>
      <c r="H4" s="1">
        <v>0</v>
      </c>
      <c r="I4" s="1">
        <v>0</v>
      </c>
      <c r="J4" s="2"/>
      <c r="K4" s="2"/>
      <c r="L4" s="1">
        <v>0</v>
      </c>
      <c r="M4" s="1">
        <v>0</v>
      </c>
      <c r="N4" s="1">
        <v>0</v>
      </c>
      <c r="O4" s="1">
        <v>0</v>
      </c>
      <c r="P4" s="1">
        <v>0</v>
      </c>
      <c r="Q4" s="2"/>
      <c r="R4" s="2"/>
      <c r="S4" s="1">
        <v>0</v>
      </c>
      <c r="T4" s="1">
        <v>0</v>
      </c>
      <c r="U4" s="1">
        <v>0</v>
      </c>
      <c r="V4" s="1">
        <v>0</v>
      </c>
      <c r="W4" s="1">
        <v>0</v>
      </c>
      <c r="X4" s="2"/>
      <c r="Y4" s="2"/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/>
      <c r="AF4" s="2"/>
      <c r="AG4" s="1">
        <v>0</v>
      </c>
      <c r="AH4" s="1"/>
    </row>
    <row r="5" spans="1:34">
      <c r="A5" s="1">
        <v>3</v>
      </c>
      <c r="B5" s="1" t="s">
        <v>5</v>
      </c>
      <c r="C5" s="1">
        <f t="shared" si="0"/>
        <v>10</v>
      </c>
      <c r="D5" s="2"/>
      <c r="E5" s="1">
        <v>0</v>
      </c>
      <c r="F5" s="1">
        <v>0</v>
      </c>
      <c r="G5" s="1">
        <v>0</v>
      </c>
      <c r="H5" s="1">
        <v>0</v>
      </c>
      <c r="I5" s="1">
        <v>0</v>
      </c>
      <c r="J5" s="2"/>
      <c r="K5" s="2"/>
      <c r="L5" s="1">
        <v>0</v>
      </c>
      <c r="M5" s="1">
        <v>0</v>
      </c>
      <c r="N5" s="1">
        <v>0</v>
      </c>
      <c r="O5" s="1">
        <v>0</v>
      </c>
      <c r="P5" s="1">
        <v>0</v>
      </c>
      <c r="Q5" s="2"/>
      <c r="R5" s="2"/>
      <c r="S5" s="1">
        <v>8</v>
      </c>
      <c r="T5" s="1">
        <v>0</v>
      </c>
      <c r="U5" s="1">
        <v>0</v>
      </c>
      <c r="V5" s="1">
        <v>0</v>
      </c>
      <c r="W5" s="1">
        <v>0</v>
      </c>
      <c r="X5" s="2"/>
      <c r="Y5" s="2"/>
      <c r="Z5" s="1">
        <v>0</v>
      </c>
      <c r="AA5" s="1">
        <v>0</v>
      </c>
      <c r="AB5" s="1">
        <v>0</v>
      </c>
      <c r="AC5" s="1">
        <v>0</v>
      </c>
      <c r="AD5" s="1">
        <v>2</v>
      </c>
      <c r="AE5" s="2"/>
      <c r="AF5" s="2"/>
      <c r="AG5" s="1">
        <v>0</v>
      </c>
      <c r="AH5" s="1"/>
    </row>
    <row r="6" spans="1:34">
      <c r="A6" s="1">
        <v>4</v>
      </c>
      <c r="B6" s="1" t="s">
        <v>6</v>
      </c>
      <c r="C6" s="1">
        <f t="shared" si="0"/>
        <v>32</v>
      </c>
      <c r="D6" s="2"/>
      <c r="E6" s="1">
        <v>0</v>
      </c>
      <c r="F6" s="1">
        <v>0</v>
      </c>
      <c r="G6" s="1">
        <v>0</v>
      </c>
      <c r="H6" s="1">
        <v>0</v>
      </c>
      <c r="I6" s="1">
        <v>0</v>
      </c>
      <c r="J6" s="2"/>
      <c r="K6" s="2"/>
      <c r="L6" s="1">
        <v>0</v>
      </c>
      <c r="M6" s="1">
        <v>0</v>
      </c>
      <c r="N6" s="1">
        <v>0</v>
      </c>
      <c r="O6" s="1">
        <v>0</v>
      </c>
      <c r="P6" s="1">
        <v>0</v>
      </c>
      <c r="Q6" s="2"/>
      <c r="R6" s="2"/>
      <c r="S6" s="1">
        <v>0</v>
      </c>
      <c r="T6" s="1">
        <v>0</v>
      </c>
      <c r="U6" s="1">
        <v>0</v>
      </c>
      <c r="V6" s="1">
        <v>0</v>
      </c>
      <c r="W6" s="1">
        <v>0</v>
      </c>
      <c r="X6" s="2"/>
      <c r="Y6" s="2"/>
      <c r="Z6" s="1">
        <v>16</v>
      </c>
      <c r="AA6" s="1">
        <v>0</v>
      </c>
      <c r="AB6" s="1">
        <v>16</v>
      </c>
      <c r="AC6" s="1">
        <v>0</v>
      </c>
      <c r="AD6" s="1">
        <v>0</v>
      </c>
      <c r="AE6" s="2"/>
      <c r="AF6" s="2"/>
      <c r="AG6" s="1">
        <v>0</v>
      </c>
      <c r="AH6" s="1"/>
    </row>
    <row r="7" spans="1:34">
      <c r="A7" s="1">
        <v>5</v>
      </c>
      <c r="B7" s="1" t="s">
        <v>7</v>
      </c>
      <c r="C7" s="1">
        <f t="shared" si="0"/>
        <v>16</v>
      </c>
      <c r="D7" s="2"/>
      <c r="E7" s="1">
        <v>0</v>
      </c>
      <c r="F7" s="1">
        <v>0</v>
      </c>
      <c r="G7" s="1">
        <v>0</v>
      </c>
      <c r="H7" s="1">
        <v>16</v>
      </c>
      <c r="I7" s="1">
        <v>0</v>
      </c>
      <c r="J7" s="2"/>
      <c r="K7" s="2"/>
      <c r="L7" s="1">
        <v>0</v>
      </c>
      <c r="M7" s="1">
        <v>0</v>
      </c>
      <c r="N7" s="1">
        <v>0</v>
      </c>
      <c r="O7" s="1">
        <v>0</v>
      </c>
      <c r="P7" s="1">
        <v>0</v>
      </c>
      <c r="Q7" s="2"/>
      <c r="R7" s="2"/>
      <c r="S7" s="1">
        <v>0</v>
      </c>
      <c r="T7" s="1">
        <v>0</v>
      </c>
      <c r="U7" s="1">
        <v>0</v>
      </c>
      <c r="V7" s="1">
        <v>0</v>
      </c>
      <c r="W7" s="1">
        <v>0</v>
      </c>
      <c r="X7" s="2"/>
      <c r="Y7" s="2"/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"/>
      <c r="AF7" s="2"/>
      <c r="AG7" s="1">
        <v>0</v>
      </c>
      <c r="AH7" s="1"/>
    </row>
    <row r="8" spans="1:34">
      <c r="A8" s="1">
        <v>6</v>
      </c>
      <c r="B8" s="1" t="s">
        <v>8</v>
      </c>
      <c r="C8" s="1">
        <f t="shared" si="0"/>
        <v>0</v>
      </c>
      <c r="D8" s="2"/>
      <c r="E8" s="1">
        <v>0</v>
      </c>
      <c r="F8" s="1">
        <v>0</v>
      </c>
      <c r="G8" s="1">
        <v>0</v>
      </c>
      <c r="H8" s="1">
        <v>0</v>
      </c>
      <c r="I8" s="1">
        <v>0</v>
      </c>
      <c r="J8" s="10"/>
      <c r="K8" s="10"/>
      <c r="L8" s="1">
        <v>0</v>
      </c>
      <c r="M8" s="1">
        <v>0</v>
      </c>
      <c r="N8" s="1">
        <v>0</v>
      </c>
      <c r="O8" s="1">
        <v>0</v>
      </c>
      <c r="P8" s="1">
        <v>0</v>
      </c>
      <c r="Q8" s="10"/>
      <c r="R8" s="10"/>
      <c r="S8" s="1">
        <v>0</v>
      </c>
      <c r="T8" s="1">
        <v>0</v>
      </c>
      <c r="U8" s="1">
        <v>0</v>
      </c>
      <c r="V8" s="1">
        <v>0</v>
      </c>
      <c r="W8" s="1">
        <v>0</v>
      </c>
      <c r="X8" s="10"/>
      <c r="Y8" s="10"/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0"/>
      <c r="AF8" s="10"/>
      <c r="AG8" s="1">
        <v>0</v>
      </c>
      <c r="AH8" s="1"/>
    </row>
    <row r="9" spans="1:34">
      <c r="A9" s="1">
        <v>7</v>
      </c>
      <c r="B9" s="1" t="s">
        <v>9</v>
      </c>
      <c r="C9" s="1">
        <f t="shared" si="0"/>
        <v>18</v>
      </c>
      <c r="D9" s="2"/>
      <c r="E9" s="1">
        <v>0</v>
      </c>
      <c r="F9" s="1">
        <v>0</v>
      </c>
      <c r="G9" s="1">
        <v>0</v>
      </c>
      <c r="H9" s="1">
        <v>0</v>
      </c>
      <c r="I9" s="1">
        <v>0</v>
      </c>
      <c r="J9" s="2"/>
      <c r="K9" s="2"/>
      <c r="L9" s="1">
        <v>0</v>
      </c>
      <c r="M9" s="1">
        <v>0</v>
      </c>
      <c r="N9" s="1">
        <v>0</v>
      </c>
      <c r="O9" s="1">
        <v>0</v>
      </c>
      <c r="P9" s="1">
        <v>0</v>
      </c>
      <c r="Q9" s="2"/>
      <c r="R9" s="2"/>
      <c r="S9" s="1">
        <v>0</v>
      </c>
      <c r="T9" s="1">
        <v>0</v>
      </c>
      <c r="U9" s="1">
        <v>0</v>
      </c>
      <c r="V9" s="1">
        <v>10</v>
      </c>
      <c r="W9" s="1">
        <v>0</v>
      </c>
      <c r="X9" s="2"/>
      <c r="Y9" s="2"/>
      <c r="Z9" s="1">
        <v>0</v>
      </c>
      <c r="AA9" s="1">
        <v>0</v>
      </c>
      <c r="AB9" s="1">
        <v>0</v>
      </c>
      <c r="AC9" s="1">
        <v>8</v>
      </c>
      <c r="AD9" s="1">
        <v>0</v>
      </c>
      <c r="AE9" s="2"/>
      <c r="AF9" s="2"/>
      <c r="AG9" s="1">
        <v>0</v>
      </c>
      <c r="AH9" s="1"/>
    </row>
    <row r="10" spans="1:34">
      <c r="A10" s="1">
        <v>8</v>
      </c>
      <c r="B10" s="1" t="s">
        <v>10</v>
      </c>
      <c r="C10" s="1">
        <f t="shared" si="0"/>
        <v>0</v>
      </c>
      <c r="D10" s="2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3"/>
      <c r="K10" s="13"/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3"/>
      <c r="R10" s="13"/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3"/>
      <c r="Y10" s="13"/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3"/>
      <c r="AF10" s="13"/>
      <c r="AG10" s="1">
        <v>0</v>
      </c>
      <c r="AH10" s="1"/>
    </row>
    <row r="11" spans="1:34">
      <c r="A11" s="1">
        <v>9</v>
      </c>
      <c r="B11" s="1" t="s">
        <v>11</v>
      </c>
      <c r="C11" s="1">
        <f t="shared" si="0"/>
        <v>16</v>
      </c>
      <c r="D11" s="2"/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/>
      <c r="K11" s="2"/>
      <c r="L11" s="1">
        <v>16</v>
      </c>
      <c r="M11" s="1">
        <v>0</v>
      </c>
      <c r="N11" s="1">
        <v>0</v>
      </c>
      <c r="O11" s="1">
        <v>0</v>
      </c>
      <c r="P11" s="1">
        <v>0</v>
      </c>
      <c r="Q11" s="2"/>
      <c r="R11" s="2"/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2"/>
      <c r="Y11" s="2"/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"/>
      <c r="AF11" s="2"/>
      <c r="AG11" s="1">
        <v>0</v>
      </c>
      <c r="AH11" s="1"/>
    </row>
    <row r="12" spans="1:34">
      <c r="A12" s="1">
        <v>10</v>
      </c>
      <c r="B12" s="1" t="s">
        <v>12</v>
      </c>
      <c r="C12" s="1">
        <f t="shared" si="0"/>
        <v>8</v>
      </c>
      <c r="D12" s="2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/>
      <c r="K12" s="2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"/>
      <c r="R12" s="2"/>
      <c r="S12" s="1">
        <v>0</v>
      </c>
      <c r="T12" s="1">
        <v>0</v>
      </c>
      <c r="U12" s="1">
        <v>0</v>
      </c>
      <c r="V12" s="1">
        <v>0</v>
      </c>
      <c r="W12" s="1">
        <v>8</v>
      </c>
      <c r="X12" s="2"/>
      <c r="Y12" s="2"/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2"/>
      <c r="AF12" s="2"/>
      <c r="AG12" s="1">
        <v>0</v>
      </c>
      <c r="AH12" s="1"/>
    </row>
    <row r="13" spans="1:34">
      <c r="A13" s="1">
        <v>11</v>
      </c>
      <c r="B13" s="1" t="s">
        <v>13</v>
      </c>
      <c r="C13" s="1">
        <f t="shared" si="0"/>
        <v>8</v>
      </c>
      <c r="D13" s="2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/>
      <c r="K13" s="2"/>
      <c r="L13" s="1">
        <v>0</v>
      </c>
      <c r="M13" s="1">
        <v>0</v>
      </c>
      <c r="N13" s="1">
        <v>0</v>
      </c>
      <c r="O13" s="1">
        <v>8</v>
      </c>
      <c r="P13" s="1">
        <v>0</v>
      </c>
      <c r="Q13" s="2"/>
      <c r="R13" s="2"/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2"/>
      <c r="Y13" s="2"/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2"/>
      <c r="AF13" s="2"/>
      <c r="AG13" s="1">
        <v>0</v>
      </c>
      <c r="AH13" s="1"/>
    </row>
    <row r="14" spans="1:34">
      <c r="A14" s="1">
        <v>12</v>
      </c>
      <c r="B14" s="1" t="s">
        <v>14</v>
      </c>
      <c r="C14" s="1">
        <f t="shared" si="0"/>
        <v>0</v>
      </c>
      <c r="D14" s="2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/>
      <c r="K14" s="2"/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2"/>
      <c r="R14" s="2"/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2"/>
      <c r="Y14" s="2"/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"/>
      <c r="AF14" s="2"/>
      <c r="AG14" s="1">
        <v>0</v>
      </c>
      <c r="AH14" s="1"/>
    </row>
    <row r="15" spans="1:34">
      <c r="A15" s="1">
        <v>13</v>
      </c>
      <c r="B15" s="1" t="s">
        <v>16</v>
      </c>
      <c r="C15" s="1">
        <f t="shared" si="0"/>
        <v>0</v>
      </c>
      <c r="D15" s="2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2"/>
      <c r="K15" s="2"/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/>
      <c r="R15" s="2"/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2"/>
      <c r="Y15" s="2"/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/>
      <c r="AF15" s="2"/>
      <c r="AG15" s="1">
        <v>0</v>
      </c>
      <c r="AH15" s="1"/>
    </row>
    <row r="16" spans="1:34">
      <c r="A16" s="1">
        <v>14</v>
      </c>
      <c r="B16" s="1" t="s">
        <v>60</v>
      </c>
      <c r="C16" s="1">
        <f t="shared" si="0"/>
        <v>0</v>
      </c>
      <c r="D16" s="2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"/>
      <c r="K16" s="2"/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"/>
      <c r="R16" s="2"/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2"/>
      <c r="Y16" s="2"/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2"/>
      <c r="AF16" s="2"/>
      <c r="AG16" s="1">
        <v>0</v>
      </c>
      <c r="AH16" s="1"/>
    </row>
    <row r="17" spans="1:34">
      <c r="A17" s="1">
        <v>15</v>
      </c>
      <c r="B17" s="1" t="s">
        <v>66</v>
      </c>
      <c r="C17" s="1">
        <f t="shared" si="0"/>
        <v>16</v>
      </c>
      <c r="D17" s="2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/>
      <c r="K17" s="2"/>
      <c r="L17" s="1">
        <v>0</v>
      </c>
      <c r="M17" s="1">
        <v>0</v>
      </c>
      <c r="N17" s="1">
        <v>0</v>
      </c>
      <c r="O17" s="1">
        <v>0</v>
      </c>
      <c r="P17" s="1">
        <v>16</v>
      </c>
      <c r="Q17" s="2"/>
      <c r="R17" s="2"/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2"/>
      <c r="Y17" s="2"/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"/>
      <c r="AF17" s="2"/>
      <c r="AG17" s="1">
        <v>0</v>
      </c>
      <c r="AH17" s="1"/>
    </row>
    <row r="18" spans="1:34">
      <c r="A18" s="1">
        <v>16</v>
      </c>
      <c r="B18" s="1" t="s">
        <v>87</v>
      </c>
      <c r="C18" s="1">
        <f t="shared" si="0"/>
        <v>0</v>
      </c>
      <c r="D18" s="2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/>
      <c r="K18" s="2"/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2"/>
      <c r="R18" s="2"/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2"/>
      <c r="Y18" s="2"/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2"/>
      <c r="AF18" s="2"/>
      <c r="AG18" s="1">
        <v>0</v>
      </c>
      <c r="AH18" s="1"/>
    </row>
    <row r="19" spans="1:34">
      <c r="A19" s="1">
        <v>17</v>
      </c>
      <c r="B19" s="1" t="s">
        <v>104</v>
      </c>
      <c r="C19" s="1">
        <f t="shared" si="0"/>
        <v>8</v>
      </c>
      <c r="D19" s="2"/>
      <c r="E19" s="1">
        <v>0</v>
      </c>
      <c r="F19" s="1">
        <v>8</v>
      </c>
      <c r="G19" s="1">
        <v>0</v>
      </c>
      <c r="H19" s="1">
        <v>0</v>
      </c>
      <c r="I19" s="1">
        <v>0</v>
      </c>
      <c r="J19" s="2"/>
      <c r="K19" s="2"/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"/>
      <c r="R19" s="2"/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/>
      <c r="Y19" s="2"/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2"/>
      <c r="AF19" s="2"/>
      <c r="AG19" s="1">
        <v>0</v>
      </c>
      <c r="AH19" s="1"/>
    </row>
    <row r="20" spans="1:34">
      <c r="B20" s="33" t="s">
        <v>134</v>
      </c>
      <c r="C20" s="1">
        <f t="shared" si="0"/>
        <v>16</v>
      </c>
      <c r="Z20" s="30">
        <v>16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8">
    <cfRule type="duplicateValues" dxfId="36" priority="3"/>
  </conditionalFormatting>
  <conditionalFormatting sqref="B19">
    <cfRule type="duplicateValues" dxfId="35" priority="2"/>
  </conditionalFormatting>
  <conditionalFormatting sqref="B20">
    <cfRule type="duplicateValues" dxfId="34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H21"/>
  <sheetViews>
    <sheetView workbookViewId="0">
      <selection activeCell="C19" sqref="C19"/>
    </sheetView>
  </sheetViews>
  <sheetFormatPr baseColWidth="10" defaultColWidth="8.83203125" defaultRowHeight="15"/>
  <cols>
    <col min="3" max="3" width="15.33203125" customWidth="1"/>
    <col min="4" max="17" width="8.83203125" customWidth="1"/>
    <col min="18" max="18" width="7.83203125" customWidth="1"/>
    <col min="19" max="33" width="8.83203125" customWidth="1"/>
    <col min="34" max="34" width="8.83203125" hidden="1" customWidth="1"/>
    <col min="35" max="35" width="0" hidden="1" customWidth="1"/>
  </cols>
  <sheetData>
    <row r="1" spans="1:34" ht="27">
      <c r="A1" s="73" t="s">
        <v>19</v>
      </c>
      <c r="B1" s="73"/>
      <c r="C1" s="64" t="s">
        <v>49</v>
      </c>
      <c r="D1" s="68">
        <v>45444</v>
      </c>
      <c r="E1" s="68">
        <v>45445</v>
      </c>
      <c r="F1" s="68">
        <v>45446</v>
      </c>
      <c r="G1" s="68">
        <v>45447</v>
      </c>
      <c r="H1" s="68">
        <v>45448</v>
      </c>
      <c r="I1" s="68">
        <v>45449</v>
      </c>
      <c r="J1" s="68">
        <v>45450</v>
      </c>
      <c r="K1" s="68">
        <v>45451</v>
      </c>
      <c r="L1" s="68">
        <v>45452</v>
      </c>
      <c r="M1" s="68">
        <v>45453</v>
      </c>
      <c r="N1" s="68">
        <v>45454</v>
      </c>
      <c r="O1" s="68">
        <v>45455</v>
      </c>
      <c r="P1" s="68">
        <v>45456</v>
      </c>
      <c r="Q1" s="68">
        <v>45457</v>
      </c>
      <c r="R1" s="68">
        <v>45458</v>
      </c>
      <c r="S1" s="68">
        <v>45459</v>
      </c>
      <c r="T1" s="68">
        <v>45460</v>
      </c>
      <c r="U1" s="68">
        <v>45461</v>
      </c>
      <c r="V1" s="68">
        <v>45462</v>
      </c>
      <c r="W1" s="68">
        <v>45463</v>
      </c>
      <c r="X1" s="68">
        <v>45464</v>
      </c>
      <c r="Y1" s="68">
        <v>45465</v>
      </c>
      <c r="Z1" s="68">
        <v>45466</v>
      </c>
      <c r="AA1" s="68">
        <v>45467</v>
      </c>
      <c r="AB1" s="68">
        <v>45468</v>
      </c>
      <c r="AC1" s="68">
        <v>45469</v>
      </c>
      <c r="AD1" s="68">
        <v>45470</v>
      </c>
      <c r="AE1" s="68">
        <v>45471</v>
      </c>
      <c r="AF1" s="68">
        <v>45472</v>
      </c>
      <c r="AG1" s="68">
        <v>45473</v>
      </c>
      <c r="AH1" s="68"/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32" t="s">
        <v>3</v>
      </c>
      <c r="C3" s="1">
        <f t="shared" ref="C3:C19" si="0">SUM(D3:AG3)</f>
        <v>0</v>
      </c>
      <c r="D3" s="2"/>
      <c r="E3" s="1">
        <v>0</v>
      </c>
      <c r="F3" s="1">
        <v>0</v>
      </c>
      <c r="G3" s="1">
        <v>0</v>
      </c>
      <c r="H3" s="1">
        <v>0</v>
      </c>
      <c r="I3" s="1">
        <v>0</v>
      </c>
      <c r="J3" s="2"/>
      <c r="K3" s="2"/>
      <c r="L3" s="1">
        <v>0</v>
      </c>
      <c r="M3" s="1">
        <v>0</v>
      </c>
      <c r="N3" s="1">
        <v>0</v>
      </c>
      <c r="O3" s="1">
        <v>0</v>
      </c>
      <c r="P3" s="1">
        <v>0</v>
      </c>
      <c r="Q3" s="2"/>
      <c r="R3" s="2"/>
      <c r="S3" s="1">
        <v>0</v>
      </c>
      <c r="T3" s="1">
        <v>0</v>
      </c>
      <c r="U3" s="1">
        <v>0</v>
      </c>
      <c r="V3" s="1">
        <v>0</v>
      </c>
      <c r="W3" s="1">
        <v>0</v>
      </c>
      <c r="X3" s="2"/>
      <c r="Y3" s="2"/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/>
      <c r="AF3" s="2"/>
      <c r="AG3" s="1">
        <v>0</v>
      </c>
      <c r="AH3" s="1"/>
    </row>
    <row r="4" spans="1:34">
      <c r="A4" s="1">
        <v>2</v>
      </c>
      <c r="B4" s="1" t="s">
        <v>4</v>
      </c>
      <c r="C4" s="1">
        <f t="shared" si="0"/>
        <v>2</v>
      </c>
      <c r="D4" s="2"/>
      <c r="E4" s="1">
        <v>0</v>
      </c>
      <c r="F4" s="1">
        <v>0</v>
      </c>
      <c r="G4" s="1">
        <v>0</v>
      </c>
      <c r="H4" s="1">
        <v>2</v>
      </c>
      <c r="I4" s="1">
        <v>0</v>
      </c>
      <c r="J4" s="2"/>
      <c r="K4" s="2"/>
      <c r="L4" s="1">
        <v>0</v>
      </c>
      <c r="M4" s="1">
        <v>0</v>
      </c>
      <c r="N4" s="1">
        <v>0</v>
      </c>
      <c r="O4" s="1">
        <v>0</v>
      </c>
      <c r="P4" s="1">
        <v>0</v>
      </c>
      <c r="Q4" s="2"/>
      <c r="R4" s="2"/>
      <c r="S4" s="1">
        <v>0</v>
      </c>
      <c r="T4" s="1">
        <v>0</v>
      </c>
      <c r="U4" s="1">
        <v>0</v>
      </c>
      <c r="V4" s="1">
        <v>0</v>
      </c>
      <c r="W4" s="1">
        <v>0</v>
      </c>
      <c r="X4" s="2"/>
      <c r="Y4" s="2"/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/>
      <c r="AF4" s="2"/>
      <c r="AG4" s="1">
        <v>0</v>
      </c>
      <c r="AH4" s="1"/>
    </row>
    <row r="5" spans="1:34">
      <c r="A5" s="1">
        <v>3</v>
      </c>
      <c r="B5" s="1" t="s">
        <v>5</v>
      </c>
      <c r="C5" s="1">
        <f t="shared" si="0"/>
        <v>0</v>
      </c>
      <c r="D5" s="2"/>
      <c r="E5" s="1">
        <v>0</v>
      </c>
      <c r="F5" s="1">
        <v>0</v>
      </c>
      <c r="G5" s="1">
        <v>0</v>
      </c>
      <c r="H5" s="1">
        <v>0</v>
      </c>
      <c r="I5" s="1">
        <v>0</v>
      </c>
      <c r="J5" s="2"/>
      <c r="K5" s="2"/>
      <c r="L5" s="1">
        <v>0</v>
      </c>
      <c r="M5" s="1">
        <v>0</v>
      </c>
      <c r="N5" s="1">
        <v>0</v>
      </c>
      <c r="O5" s="1">
        <v>0</v>
      </c>
      <c r="P5" s="1">
        <v>0</v>
      </c>
      <c r="Q5" s="2"/>
      <c r="R5" s="2"/>
      <c r="S5" s="1">
        <v>0</v>
      </c>
      <c r="T5" s="1">
        <v>0</v>
      </c>
      <c r="U5" s="1">
        <v>0</v>
      </c>
      <c r="V5" s="1">
        <v>0</v>
      </c>
      <c r="W5" s="1">
        <v>0</v>
      </c>
      <c r="X5" s="2"/>
      <c r="Y5" s="2"/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/>
      <c r="AF5" s="2"/>
      <c r="AG5" s="1">
        <v>0</v>
      </c>
      <c r="AH5" s="1"/>
    </row>
    <row r="6" spans="1:34">
      <c r="A6" s="1">
        <v>4</v>
      </c>
      <c r="B6" s="1" t="s">
        <v>6</v>
      </c>
      <c r="C6" s="1">
        <f t="shared" si="0"/>
        <v>18</v>
      </c>
      <c r="D6" s="2"/>
      <c r="E6" s="1">
        <v>0</v>
      </c>
      <c r="F6" s="1">
        <v>3</v>
      </c>
      <c r="G6" s="1">
        <v>3</v>
      </c>
      <c r="H6" s="1">
        <v>3</v>
      </c>
      <c r="I6" s="1">
        <v>0</v>
      </c>
      <c r="J6" s="2"/>
      <c r="K6" s="2"/>
      <c r="L6" s="1">
        <v>3</v>
      </c>
      <c r="M6" s="1">
        <v>0</v>
      </c>
      <c r="N6" s="1">
        <v>3</v>
      </c>
      <c r="O6" s="1">
        <v>0</v>
      </c>
      <c r="P6" s="1">
        <v>0</v>
      </c>
      <c r="Q6" s="2"/>
      <c r="R6" s="2"/>
      <c r="S6" s="1">
        <v>0</v>
      </c>
      <c r="T6" s="1">
        <v>2</v>
      </c>
      <c r="U6" s="1">
        <v>0</v>
      </c>
      <c r="V6" s="1">
        <v>0</v>
      </c>
      <c r="W6" s="1">
        <v>0</v>
      </c>
      <c r="X6" s="2"/>
      <c r="Y6" s="2"/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2"/>
      <c r="AF6" s="2"/>
      <c r="AG6" s="1">
        <v>1</v>
      </c>
      <c r="AH6" s="1"/>
    </row>
    <row r="7" spans="1:34">
      <c r="A7" s="1">
        <v>5</v>
      </c>
      <c r="B7" s="32" t="s">
        <v>7</v>
      </c>
      <c r="C7" s="1">
        <f t="shared" si="0"/>
        <v>83</v>
      </c>
      <c r="D7" s="2"/>
      <c r="E7" s="1">
        <v>0</v>
      </c>
      <c r="F7" s="1">
        <v>0</v>
      </c>
      <c r="G7" s="1">
        <v>0</v>
      </c>
      <c r="H7" s="1">
        <v>2</v>
      </c>
      <c r="I7" s="1">
        <v>0</v>
      </c>
      <c r="J7" s="2"/>
      <c r="K7" s="2"/>
      <c r="L7" s="1">
        <v>4</v>
      </c>
      <c r="M7" s="1">
        <v>8</v>
      </c>
      <c r="N7" s="1">
        <v>11</v>
      </c>
      <c r="O7" s="1">
        <v>10</v>
      </c>
      <c r="P7" s="1">
        <v>6</v>
      </c>
      <c r="Q7" s="2">
        <v>22</v>
      </c>
      <c r="R7" s="2"/>
      <c r="S7" s="1">
        <v>2</v>
      </c>
      <c r="T7" s="1">
        <v>6</v>
      </c>
      <c r="U7" s="1">
        <v>4</v>
      </c>
      <c r="V7" s="1">
        <v>0</v>
      </c>
      <c r="W7" s="1">
        <v>0</v>
      </c>
      <c r="X7" s="2"/>
      <c r="Y7" s="2"/>
      <c r="Z7" s="1">
        <v>4</v>
      </c>
      <c r="AA7" s="1">
        <v>4</v>
      </c>
      <c r="AB7" s="1">
        <v>0</v>
      </c>
      <c r="AC7" s="1">
        <v>0</v>
      </c>
      <c r="AD7" s="1">
        <v>0</v>
      </c>
      <c r="AE7" s="2"/>
      <c r="AF7" s="2"/>
      <c r="AG7" s="1">
        <v>0</v>
      </c>
      <c r="AH7" s="1"/>
    </row>
    <row r="8" spans="1:34">
      <c r="A8" s="1">
        <v>6</v>
      </c>
      <c r="B8" s="32" t="s">
        <v>8</v>
      </c>
      <c r="C8" s="1">
        <f t="shared" si="0"/>
        <v>98</v>
      </c>
      <c r="D8" s="10">
        <v>16</v>
      </c>
      <c r="E8" s="1">
        <v>4</v>
      </c>
      <c r="F8" s="1">
        <v>4</v>
      </c>
      <c r="G8" s="1">
        <v>2</v>
      </c>
      <c r="H8" s="1">
        <v>8</v>
      </c>
      <c r="I8" s="1">
        <v>8</v>
      </c>
      <c r="J8" s="10"/>
      <c r="K8" s="10"/>
      <c r="L8" s="1">
        <v>8</v>
      </c>
      <c r="M8" s="1">
        <v>4</v>
      </c>
      <c r="N8" s="1">
        <v>3</v>
      </c>
      <c r="O8" s="1">
        <v>6</v>
      </c>
      <c r="P8" s="1">
        <v>5</v>
      </c>
      <c r="Q8" s="10">
        <v>16</v>
      </c>
      <c r="R8" s="10"/>
      <c r="S8" s="1">
        <v>0</v>
      </c>
      <c r="T8" s="1">
        <v>6</v>
      </c>
      <c r="U8" s="1">
        <v>4</v>
      </c>
      <c r="V8" s="1">
        <v>0</v>
      </c>
      <c r="W8" s="1">
        <v>0</v>
      </c>
      <c r="X8" s="10"/>
      <c r="Y8" s="10"/>
      <c r="Z8" s="1">
        <v>0</v>
      </c>
      <c r="AA8" s="1">
        <v>4</v>
      </c>
      <c r="AB8" s="1">
        <v>0</v>
      </c>
      <c r="AC8" s="1">
        <v>0</v>
      </c>
      <c r="AD8" s="1">
        <v>0</v>
      </c>
      <c r="AE8" s="10"/>
      <c r="AF8" s="10"/>
      <c r="AG8" s="1">
        <v>0</v>
      </c>
      <c r="AH8" s="1"/>
    </row>
    <row r="9" spans="1:34">
      <c r="A9" s="1">
        <v>7</v>
      </c>
      <c r="B9" s="1" t="s">
        <v>9</v>
      </c>
      <c r="C9" s="1">
        <f t="shared" si="0"/>
        <v>17</v>
      </c>
      <c r="D9" s="2"/>
      <c r="E9" s="1">
        <v>0</v>
      </c>
      <c r="F9" s="1">
        <v>3</v>
      </c>
      <c r="G9" s="1">
        <v>3</v>
      </c>
      <c r="H9" s="1">
        <v>3</v>
      </c>
      <c r="I9" s="1">
        <v>0</v>
      </c>
      <c r="J9" s="2"/>
      <c r="K9" s="2"/>
      <c r="L9" s="1">
        <v>3</v>
      </c>
      <c r="M9" s="1">
        <v>0</v>
      </c>
      <c r="N9" s="1">
        <v>3</v>
      </c>
      <c r="O9" s="1">
        <v>0</v>
      </c>
      <c r="P9" s="1">
        <v>0</v>
      </c>
      <c r="Q9" s="2"/>
      <c r="R9" s="2"/>
      <c r="S9" s="1">
        <v>1</v>
      </c>
      <c r="T9" s="1">
        <v>1</v>
      </c>
      <c r="U9" s="1">
        <v>0</v>
      </c>
      <c r="V9" s="1">
        <v>0</v>
      </c>
      <c r="W9" s="1">
        <v>0</v>
      </c>
      <c r="X9" s="2"/>
      <c r="Y9" s="2"/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"/>
      <c r="AF9" s="2"/>
      <c r="AG9" s="1">
        <v>0</v>
      </c>
      <c r="AH9" s="1"/>
    </row>
    <row r="10" spans="1:34">
      <c r="A10" s="1">
        <v>8</v>
      </c>
      <c r="B10" s="32" t="s">
        <v>10</v>
      </c>
      <c r="C10" s="1">
        <f t="shared" si="0"/>
        <v>52</v>
      </c>
      <c r="D10" s="2">
        <v>16</v>
      </c>
      <c r="E10" s="1">
        <v>2</v>
      </c>
      <c r="F10" s="1">
        <v>0</v>
      </c>
      <c r="G10" s="1">
        <v>4</v>
      </c>
      <c r="H10" s="1">
        <v>6</v>
      </c>
      <c r="I10" s="1">
        <v>4</v>
      </c>
      <c r="J10" s="13"/>
      <c r="K10" s="13"/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3"/>
      <c r="R10" s="13"/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3"/>
      <c r="Y10" s="13"/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3"/>
      <c r="AF10" s="13"/>
      <c r="AG10" s="1">
        <v>0</v>
      </c>
      <c r="AH10" s="1"/>
    </row>
    <row r="11" spans="1:34">
      <c r="A11" s="1">
        <v>9</v>
      </c>
      <c r="B11" s="32" t="s">
        <v>11</v>
      </c>
      <c r="C11" s="1">
        <f t="shared" si="0"/>
        <v>14</v>
      </c>
      <c r="D11" s="2"/>
      <c r="E11" s="1">
        <v>4</v>
      </c>
      <c r="F11" s="1">
        <v>4</v>
      </c>
      <c r="G11" s="1">
        <v>2</v>
      </c>
      <c r="H11" s="1">
        <v>0</v>
      </c>
      <c r="I11" s="1">
        <v>0</v>
      </c>
      <c r="J11" s="2"/>
      <c r="K11" s="2"/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/>
      <c r="R11" s="2"/>
      <c r="S11" s="1">
        <v>1</v>
      </c>
      <c r="T11" s="1">
        <v>0</v>
      </c>
      <c r="U11" s="1">
        <v>1</v>
      </c>
      <c r="V11" s="1">
        <v>1</v>
      </c>
      <c r="W11" s="1">
        <v>0</v>
      </c>
      <c r="X11" s="2"/>
      <c r="Y11" s="2"/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2"/>
      <c r="AF11" s="2"/>
      <c r="AG11" s="1">
        <v>0</v>
      </c>
      <c r="AH11" s="1"/>
    </row>
    <row r="12" spans="1:34">
      <c r="A12" s="1">
        <v>10</v>
      </c>
      <c r="B12" s="1" t="s">
        <v>12</v>
      </c>
      <c r="C12" s="1">
        <f t="shared" si="0"/>
        <v>4</v>
      </c>
      <c r="D12" s="2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/>
      <c r="K12" s="2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"/>
      <c r="R12" s="2"/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2"/>
      <c r="Y12" s="2"/>
      <c r="Z12" s="1">
        <v>0</v>
      </c>
      <c r="AA12" s="1">
        <v>1</v>
      </c>
      <c r="AB12" s="1">
        <v>1</v>
      </c>
      <c r="AC12" s="1">
        <v>1</v>
      </c>
      <c r="AD12" s="1">
        <v>1</v>
      </c>
      <c r="AE12" s="2"/>
      <c r="AF12" s="2"/>
      <c r="AG12" s="1">
        <v>0</v>
      </c>
      <c r="AH12" s="1"/>
    </row>
    <row r="13" spans="1:34">
      <c r="A13" s="1">
        <v>11</v>
      </c>
      <c r="B13" s="1" t="s">
        <v>13</v>
      </c>
      <c r="C13" s="1">
        <f t="shared" si="0"/>
        <v>3</v>
      </c>
      <c r="D13" s="2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/>
      <c r="K13" s="2"/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/>
      <c r="R13" s="2"/>
      <c r="S13" s="1">
        <v>0</v>
      </c>
      <c r="T13" s="1">
        <v>0</v>
      </c>
      <c r="U13" s="1">
        <v>0</v>
      </c>
      <c r="V13" s="1">
        <v>3</v>
      </c>
      <c r="W13" s="1">
        <v>0</v>
      </c>
      <c r="X13" s="2"/>
      <c r="Y13" s="2"/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2"/>
      <c r="AF13" s="2"/>
      <c r="AG13" s="1">
        <v>0</v>
      </c>
      <c r="AH13" s="1"/>
    </row>
    <row r="14" spans="1:34">
      <c r="A14" s="1">
        <v>12</v>
      </c>
      <c r="B14" s="1" t="s">
        <v>14</v>
      </c>
      <c r="C14" s="1">
        <f t="shared" si="0"/>
        <v>23</v>
      </c>
      <c r="D14" s="2"/>
      <c r="E14" s="1">
        <v>0</v>
      </c>
      <c r="F14" s="1">
        <v>3</v>
      </c>
      <c r="G14" s="1">
        <v>3</v>
      </c>
      <c r="H14" s="1">
        <v>3</v>
      </c>
      <c r="I14" s="1">
        <v>3</v>
      </c>
      <c r="J14" s="2"/>
      <c r="K14" s="2"/>
      <c r="L14" s="1">
        <v>3</v>
      </c>
      <c r="M14" s="1">
        <v>3</v>
      </c>
      <c r="N14" s="1">
        <v>3</v>
      </c>
      <c r="O14" s="1">
        <v>0</v>
      </c>
      <c r="P14" s="1">
        <v>0</v>
      </c>
      <c r="Q14" s="2"/>
      <c r="R14" s="2"/>
      <c r="S14" s="1">
        <v>0</v>
      </c>
      <c r="T14" s="1">
        <v>0</v>
      </c>
      <c r="U14" s="1">
        <v>0</v>
      </c>
      <c r="V14" s="1">
        <v>0</v>
      </c>
      <c r="W14" s="1">
        <v>2</v>
      </c>
      <c r="X14" s="2"/>
      <c r="Y14" s="2"/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"/>
      <c r="AF14" s="2"/>
      <c r="AG14" s="1">
        <v>0</v>
      </c>
      <c r="AH14" s="1"/>
    </row>
    <row r="15" spans="1:34">
      <c r="A15" s="1">
        <v>13</v>
      </c>
      <c r="B15" s="32" t="s">
        <v>16</v>
      </c>
      <c r="C15" s="1">
        <f t="shared" si="0"/>
        <v>96</v>
      </c>
      <c r="D15" s="2">
        <v>16</v>
      </c>
      <c r="E15" s="1">
        <v>0</v>
      </c>
      <c r="F15" s="1">
        <v>7</v>
      </c>
      <c r="G15" s="1">
        <v>2</v>
      </c>
      <c r="H15" s="1">
        <v>8</v>
      </c>
      <c r="I15" s="1">
        <v>8</v>
      </c>
      <c r="J15" s="2">
        <v>4</v>
      </c>
      <c r="K15" s="2"/>
      <c r="L15" s="1">
        <v>6</v>
      </c>
      <c r="M15" s="1">
        <v>8</v>
      </c>
      <c r="N15" s="1">
        <v>5</v>
      </c>
      <c r="O15" s="1">
        <v>2</v>
      </c>
      <c r="P15" s="1">
        <v>3</v>
      </c>
      <c r="Q15" s="2"/>
      <c r="R15" s="2">
        <v>15</v>
      </c>
      <c r="S15" s="1">
        <v>0</v>
      </c>
      <c r="T15" s="1">
        <v>0</v>
      </c>
      <c r="U15" s="1">
        <v>0</v>
      </c>
      <c r="V15" s="1">
        <v>8</v>
      </c>
      <c r="W15" s="1">
        <v>0</v>
      </c>
      <c r="X15" s="2"/>
      <c r="Y15" s="2"/>
      <c r="Z15" s="1">
        <v>0</v>
      </c>
      <c r="AA15" s="1">
        <v>4</v>
      </c>
      <c r="AB15" s="1">
        <v>0</v>
      </c>
      <c r="AC15" s="1">
        <v>0</v>
      </c>
      <c r="AD15" s="1">
        <v>0</v>
      </c>
      <c r="AE15" s="2"/>
      <c r="AF15" s="2"/>
      <c r="AG15" s="1">
        <v>0</v>
      </c>
      <c r="AH15" s="1"/>
    </row>
    <row r="16" spans="1:34">
      <c r="A16" s="1">
        <v>14</v>
      </c>
      <c r="B16" s="32" t="s">
        <v>60</v>
      </c>
      <c r="C16" s="1">
        <f t="shared" si="0"/>
        <v>48</v>
      </c>
      <c r="D16" s="2">
        <v>16</v>
      </c>
      <c r="E16" s="1">
        <v>0</v>
      </c>
      <c r="F16" s="1">
        <v>0</v>
      </c>
      <c r="G16" s="1">
        <v>2</v>
      </c>
      <c r="H16" s="1">
        <v>2</v>
      </c>
      <c r="I16" s="1">
        <v>6</v>
      </c>
      <c r="J16" s="2">
        <v>4</v>
      </c>
      <c r="K16" s="2"/>
      <c r="L16" s="1">
        <v>0</v>
      </c>
      <c r="M16" s="1">
        <v>4</v>
      </c>
      <c r="N16" s="1">
        <v>0</v>
      </c>
      <c r="O16" s="1">
        <v>6</v>
      </c>
      <c r="P16" s="1">
        <v>0</v>
      </c>
      <c r="Q16" s="2"/>
      <c r="R16" s="2"/>
      <c r="S16" s="1">
        <v>0</v>
      </c>
      <c r="T16" s="1">
        <v>0</v>
      </c>
      <c r="U16" s="1">
        <v>0</v>
      </c>
      <c r="V16" s="1">
        <v>8</v>
      </c>
      <c r="W16" s="1">
        <v>0</v>
      </c>
      <c r="X16" s="2"/>
      <c r="Y16" s="2"/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2"/>
      <c r="AF16" s="2"/>
      <c r="AG16" s="1">
        <v>0</v>
      </c>
      <c r="AH16" s="1"/>
    </row>
    <row r="17" spans="1:34">
      <c r="A17" s="1">
        <v>15</v>
      </c>
      <c r="B17" s="1" t="s">
        <v>66</v>
      </c>
      <c r="C17" s="1">
        <f t="shared" si="0"/>
        <v>25</v>
      </c>
      <c r="D17" s="2"/>
      <c r="E17" s="1">
        <v>0</v>
      </c>
      <c r="F17" s="1">
        <v>8</v>
      </c>
      <c r="G17" s="1">
        <v>0</v>
      </c>
      <c r="H17" s="1">
        <v>0</v>
      </c>
      <c r="I17" s="1">
        <v>0</v>
      </c>
      <c r="J17" s="2">
        <v>15</v>
      </c>
      <c r="K17" s="2"/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2"/>
      <c r="R17" s="2"/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2"/>
      <c r="Y17" s="2"/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"/>
      <c r="AF17" s="2"/>
      <c r="AG17" s="1">
        <v>0</v>
      </c>
      <c r="AH17" s="1"/>
    </row>
    <row r="18" spans="1:34">
      <c r="A18" s="1">
        <v>16</v>
      </c>
      <c r="B18" s="32" t="s">
        <v>87</v>
      </c>
      <c r="C18" s="1">
        <f t="shared" si="0"/>
        <v>79</v>
      </c>
      <c r="D18" s="2"/>
      <c r="E18" s="1">
        <v>0</v>
      </c>
      <c r="F18" s="1">
        <v>0</v>
      </c>
      <c r="G18" s="1">
        <v>0</v>
      </c>
      <c r="H18" s="1">
        <v>2</v>
      </c>
      <c r="I18" s="1">
        <v>0</v>
      </c>
      <c r="J18" s="2"/>
      <c r="K18" s="2"/>
      <c r="L18" s="1">
        <v>0</v>
      </c>
      <c r="M18" s="1">
        <v>8</v>
      </c>
      <c r="N18" s="1">
        <v>11</v>
      </c>
      <c r="O18" s="1">
        <v>10</v>
      </c>
      <c r="P18" s="1">
        <v>6</v>
      </c>
      <c r="Q18" s="2">
        <v>22</v>
      </c>
      <c r="R18" s="2"/>
      <c r="S18" s="1">
        <v>2</v>
      </c>
      <c r="T18" s="1">
        <v>6</v>
      </c>
      <c r="U18" s="1">
        <v>4</v>
      </c>
      <c r="V18" s="1">
        <v>0</v>
      </c>
      <c r="W18" s="1">
        <v>0</v>
      </c>
      <c r="X18" s="2"/>
      <c r="Y18" s="2"/>
      <c r="Z18" s="1">
        <v>4</v>
      </c>
      <c r="AA18" s="1">
        <v>4</v>
      </c>
      <c r="AB18" s="1">
        <v>0</v>
      </c>
      <c r="AC18" s="1">
        <v>0</v>
      </c>
      <c r="AD18" s="1">
        <v>0</v>
      </c>
      <c r="AE18" s="2"/>
      <c r="AF18" s="2"/>
      <c r="AG18" s="1">
        <v>0</v>
      </c>
      <c r="AH18" s="1"/>
    </row>
    <row r="19" spans="1:34">
      <c r="A19" s="1">
        <v>17</v>
      </c>
      <c r="B19" s="1" t="s">
        <v>104</v>
      </c>
      <c r="C19" s="1">
        <f t="shared" si="0"/>
        <v>23</v>
      </c>
      <c r="D19" s="2"/>
      <c r="E19" s="1">
        <v>0</v>
      </c>
      <c r="F19" s="1">
        <v>8</v>
      </c>
      <c r="G19" s="1">
        <v>0</v>
      </c>
      <c r="H19" s="1">
        <v>0</v>
      </c>
      <c r="I19" s="1">
        <v>0</v>
      </c>
      <c r="J19" s="2">
        <v>11</v>
      </c>
      <c r="K19" s="2"/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2"/>
      <c r="R19" s="2"/>
      <c r="S19" s="1">
        <v>0</v>
      </c>
      <c r="T19" s="1">
        <v>0</v>
      </c>
      <c r="U19" s="1">
        <v>0</v>
      </c>
      <c r="V19" s="1">
        <v>1</v>
      </c>
      <c r="W19" s="1">
        <v>2</v>
      </c>
      <c r="X19" s="2"/>
      <c r="Y19" s="2"/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2"/>
      <c r="AF19" s="2"/>
      <c r="AG19" s="1">
        <v>0</v>
      </c>
    </row>
    <row r="20" spans="1:34">
      <c r="B20" s="31" t="s">
        <v>134</v>
      </c>
      <c r="C20" s="1">
        <f>SUM(D20:AG20)</f>
        <v>48</v>
      </c>
      <c r="D20" s="2">
        <v>16</v>
      </c>
      <c r="E20" s="1">
        <v>2</v>
      </c>
      <c r="F20" s="1">
        <v>0</v>
      </c>
      <c r="G20" s="1">
        <v>4</v>
      </c>
      <c r="H20" s="1">
        <v>6</v>
      </c>
      <c r="I20" s="1">
        <v>4</v>
      </c>
      <c r="J20" s="2"/>
      <c r="K20" s="2"/>
      <c r="L20" s="1">
        <v>4</v>
      </c>
      <c r="M20" s="1">
        <v>4</v>
      </c>
      <c r="N20" s="1">
        <v>4</v>
      </c>
      <c r="O20" s="1">
        <v>4</v>
      </c>
      <c r="P20" s="1">
        <v>0</v>
      </c>
      <c r="Q20" s="2"/>
      <c r="R20" s="2"/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/>
      <c r="Y20" s="2"/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/>
      <c r="AF20" s="2"/>
      <c r="AG20" s="1">
        <v>0</v>
      </c>
    </row>
    <row r="21" spans="1:34">
      <c r="D21" t="s">
        <v>135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8">
    <cfRule type="duplicateValues" dxfId="33" priority="3"/>
  </conditionalFormatting>
  <conditionalFormatting sqref="B19">
    <cfRule type="duplicateValues" dxfId="32" priority="2"/>
  </conditionalFormatting>
  <conditionalFormatting sqref="B20">
    <cfRule type="duplicateValues" dxfId="31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30"/>
  <sheetViews>
    <sheetView zoomScaleNormal="100" workbookViewId="0">
      <selection activeCell="AG3" sqref="AG3"/>
    </sheetView>
  </sheetViews>
  <sheetFormatPr baseColWidth="10" defaultColWidth="8.83203125" defaultRowHeight="15"/>
  <cols>
    <col min="3" max="32" width="8.83203125" hidden="1" customWidth="1"/>
    <col min="33" max="33" width="8.83203125" customWidth="1"/>
  </cols>
  <sheetData>
    <row r="1" spans="1:36" ht="27">
      <c r="A1" s="70" t="s">
        <v>0</v>
      </c>
      <c r="B1" s="70"/>
      <c r="C1" s="68">
        <v>45474</v>
      </c>
      <c r="D1" s="68">
        <v>45475</v>
      </c>
      <c r="E1" s="68">
        <v>45476</v>
      </c>
      <c r="F1" s="68">
        <v>45477</v>
      </c>
      <c r="G1" s="68">
        <v>45478</v>
      </c>
      <c r="H1" s="68">
        <v>45479</v>
      </c>
      <c r="I1" s="68">
        <v>45480</v>
      </c>
      <c r="J1" s="68">
        <v>45481</v>
      </c>
      <c r="K1" s="68">
        <v>45482</v>
      </c>
      <c r="L1" s="68">
        <v>45483</v>
      </c>
      <c r="M1" s="68">
        <v>45484</v>
      </c>
      <c r="N1" s="68">
        <v>45485</v>
      </c>
      <c r="O1" s="68">
        <v>45486</v>
      </c>
      <c r="P1" s="68">
        <v>45487</v>
      </c>
      <c r="Q1" s="68">
        <v>45488</v>
      </c>
      <c r="R1" s="68">
        <v>45489</v>
      </c>
      <c r="S1" s="68">
        <v>45490</v>
      </c>
      <c r="T1" s="68">
        <v>45491</v>
      </c>
      <c r="U1" s="68">
        <v>45492</v>
      </c>
      <c r="V1" s="68">
        <v>45493</v>
      </c>
      <c r="W1" s="68">
        <v>45494</v>
      </c>
      <c r="X1" s="68">
        <v>45495</v>
      </c>
      <c r="Y1" s="68">
        <v>45496</v>
      </c>
      <c r="Z1" s="68">
        <v>45497</v>
      </c>
      <c r="AA1" s="68">
        <v>45498</v>
      </c>
      <c r="AB1" s="68">
        <v>45499</v>
      </c>
      <c r="AC1" s="68">
        <v>45500</v>
      </c>
      <c r="AD1" s="68">
        <v>45501</v>
      </c>
      <c r="AE1" s="68">
        <v>45502</v>
      </c>
      <c r="AF1" s="68">
        <v>45503</v>
      </c>
      <c r="AG1" s="68">
        <v>45504</v>
      </c>
    </row>
    <row r="2" spans="1:36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6" ht="18">
      <c r="A3" s="1">
        <v>1</v>
      </c>
      <c r="B3" s="1" t="s">
        <v>3</v>
      </c>
      <c r="C3" s="16" t="s">
        <v>25</v>
      </c>
      <c r="D3" s="16" t="s">
        <v>25</v>
      </c>
      <c r="E3" s="16" t="s">
        <v>25</v>
      </c>
      <c r="F3" s="16" t="s">
        <v>25</v>
      </c>
      <c r="G3" s="2"/>
      <c r="H3" s="2"/>
      <c r="I3" s="16" t="s">
        <v>25</v>
      </c>
      <c r="J3" s="16" t="s">
        <v>25</v>
      </c>
      <c r="K3" s="16" t="s">
        <v>25</v>
      </c>
      <c r="L3" s="16" t="s">
        <v>25</v>
      </c>
      <c r="M3" s="16" t="s">
        <v>25</v>
      </c>
      <c r="N3" s="2"/>
      <c r="O3" s="2"/>
      <c r="P3" s="16" t="s">
        <v>25</v>
      </c>
      <c r="Q3" s="16" t="s">
        <v>25</v>
      </c>
      <c r="R3" s="16" t="s">
        <v>25</v>
      </c>
      <c r="S3" s="16" t="s">
        <v>25</v>
      </c>
      <c r="T3" s="1" t="s">
        <v>62</v>
      </c>
      <c r="U3" s="2"/>
      <c r="V3" s="2"/>
      <c r="W3" s="1" t="s">
        <v>50</v>
      </c>
      <c r="X3" s="1" t="s">
        <v>30</v>
      </c>
      <c r="Y3" s="16" t="s">
        <v>25</v>
      </c>
      <c r="Z3" s="16" t="s">
        <v>25</v>
      </c>
      <c r="AA3" s="16" t="s">
        <v>25</v>
      </c>
      <c r="AB3" s="2"/>
      <c r="AC3" s="2"/>
      <c r="AD3" s="16" t="s">
        <v>25</v>
      </c>
      <c r="AE3" s="16" t="s">
        <v>25</v>
      </c>
      <c r="AF3" s="16" t="s">
        <v>25</v>
      </c>
      <c r="AG3" s="16" t="s">
        <v>25</v>
      </c>
    </row>
    <row r="4" spans="1:36" ht="18">
      <c r="A4" s="1">
        <v>2</v>
      </c>
      <c r="B4" s="1" t="s">
        <v>4</v>
      </c>
      <c r="C4" s="1" t="s">
        <v>92</v>
      </c>
      <c r="D4" s="1" t="s">
        <v>92</v>
      </c>
      <c r="E4" s="1" t="s">
        <v>92</v>
      </c>
      <c r="F4" s="1" t="s">
        <v>92</v>
      </c>
      <c r="G4" s="2"/>
      <c r="H4" s="2"/>
      <c r="I4" s="1" t="s">
        <v>92</v>
      </c>
      <c r="J4" s="1" t="s">
        <v>92</v>
      </c>
      <c r="K4" s="1" t="s">
        <v>92</v>
      </c>
      <c r="L4" s="1" t="s">
        <v>92</v>
      </c>
      <c r="M4" s="1" t="s">
        <v>92</v>
      </c>
      <c r="N4" s="2"/>
      <c r="O4" s="2"/>
      <c r="P4" s="16" t="s">
        <v>30</v>
      </c>
      <c r="Q4" s="16" t="s">
        <v>25</v>
      </c>
      <c r="R4" s="16" t="s">
        <v>25</v>
      </c>
      <c r="S4" s="16" t="s">
        <v>25</v>
      </c>
      <c r="T4" s="16" t="s">
        <v>25</v>
      </c>
      <c r="U4" s="2"/>
      <c r="V4" s="2"/>
      <c r="W4" s="16" t="s">
        <v>25</v>
      </c>
      <c r="X4" s="16" t="s">
        <v>25</v>
      </c>
      <c r="Y4" s="16" t="s">
        <v>25</v>
      </c>
      <c r="Z4" s="16" t="s">
        <v>25</v>
      </c>
      <c r="AA4" s="16" t="s">
        <v>25</v>
      </c>
      <c r="AB4" s="2"/>
      <c r="AC4" s="2"/>
      <c r="AD4" s="16" t="s">
        <v>25</v>
      </c>
      <c r="AE4" s="16" t="s">
        <v>25</v>
      </c>
      <c r="AF4" s="16" t="s">
        <v>25</v>
      </c>
      <c r="AG4" s="16" t="s">
        <v>25</v>
      </c>
    </row>
    <row r="5" spans="1:36" ht="18">
      <c r="A5" s="1">
        <v>3</v>
      </c>
      <c r="B5" s="1" t="s">
        <v>5</v>
      </c>
      <c r="C5" s="16" t="s">
        <v>25</v>
      </c>
      <c r="D5" s="16" t="s">
        <v>25</v>
      </c>
      <c r="E5" s="16" t="s">
        <v>25</v>
      </c>
      <c r="F5" s="16" t="s">
        <v>25</v>
      </c>
      <c r="G5" s="2"/>
      <c r="H5" s="2"/>
      <c r="I5" s="16" t="s">
        <v>25</v>
      </c>
      <c r="J5" s="16" t="s">
        <v>25</v>
      </c>
      <c r="K5" s="16" t="s">
        <v>25</v>
      </c>
      <c r="L5" s="16" t="s">
        <v>25</v>
      </c>
      <c r="M5" s="16" t="s">
        <v>25</v>
      </c>
      <c r="N5" s="2"/>
      <c r="O5" s="2"/>
      <c r="P5" s="16" t="s">
        <v>25</v>
      </c>
      <c r="Q5" s="16" t="s">
        <v>25</v>
      </c>
      <c r="R5" s="16" t="s">
        <v>25</v>
      </c>
      <c r="S5" s="16" t="s">
        <v>25</v>
      </c>
      <c r="T5" s="16" t="s">
        <v>25</v>
      </c>
      <c r="U5" s="2"/>
      <c r="V5" s="2"/>
      <c r="W5" s="16" t="s">
        <v>25</v>
      </c>
      <c r="X5" s="16" t="s">
        <v>25</v>
      </c>
      <c r="Y5" s="16" t="s">
        <v>25</v>
      </c>
      <c r="Z5" s="16" t="s">
        <v>25</v>
      </c>
      <c r="AA5" s="16" t="s">
        <v>25</v>
      </c>
      <c r="AB5" s="2"/>
      <c r="AC5" s="2"/>
      <c r="AD5" s="16" t="s">
        <v>25</v>
      </c>
      <c r="AE5" s="16" t="s">
        <v>25</v>
      </c>
      <c r="AF5" s="16" t="s">
        <v>25</v>
      </c>
      <c r="AG5" s="16" t="s">
        <v>25</v>
      </c>
      <c r="AJ5" t="s">
        <v>138</v>
      </c>
    </row>
    <row r="6" spans="1:36" ht="18">
      <c r="A6" s="1">
        <v>4</v>
      </c>
      <c r="B6" s="1" t="s">
        <v>6</v>
      </c>
      <c r="C6" s="16" t="s">
        <v>25</v>
      </c>
      <c r="D6" s="16" t="s">
        <v>25</v>
      </c>
      <c r="E6" s="16" t="s">
        <v>25</v>
      </c>
      <c r="F6" s="16" t="s">
        <v>25</v>
      </c>
      <c r="G6" s="2"/>
      <c r="H6" s="2"/>
      <c r="I6" s="16" t="s">
        <v>25</v>
      </c>
      <c r="J6" s="16" t="s">
        <v>25</v>
      </c>
      <c r="K6" s="16" t="s">
        <v>25</v>
      </c>
      <c r="L6" s="16" t="s">
        <v>25</v>
      </c>
      <c r="M6" s="16" t="s">
        <v>25</v>
      </c>
      <c r="N6" s="2"/>
      <c r="O6" s="2"/>
      <c r="P6" s="16" t="s">
        <v>25</v>
      </c>
      <c r="Q6" s="16" t="s">
        <v>25</v>
      </c>
      <c r="R6" s="16" t="s">
        <v>25</v>
      </c>
      <c r="S6" s="16" t="s">
        <v>25</v>
      </c>
      <c r="T6" s="16" t="s">
        <v>25</v>
      </c>
      <c r="U6" s="2"/>
      <c r="V6" s="2"/>
      <c r="W6" s="16" t="s">
        <v>25</v>
      </c>
      <c r="X6" s="16" t="s">
        <v>25</v>
      </c>
      <c r="Y6" s="16" t="s">
        <v>25</v>
      </c>
      <c r="Z6" s="16" t="s">
        <v>25</v>
      </c>
      <c r="AA6" s="16" t="s">
        <v>25</v>
      </c>
      <c r="AB6" s="2"/>
      <c r="AC6" s="2"/>
      <c r="AD6" s="16" t="s">
        <v>25</v>
      </c>
      <c r="AE6" s="16" t="s">
        <v>30</v>
      </c>
      <c r="AF6" s="16" t="s">
        <v>25</v>
      </c>
      <c r="AG6" s="16" t="s">
        <v>25</v>
      </c>
    </row>
    <row r="7" spans="1:36" ht="18">
      <c r="A7" s="1">
        <v>5</v>
      </c>
      <c r="B7" s="1" t="s">
        <v>127</v>
      </c>
      <c r="C7" s="16" t="s">
        <v>25</v>
      </c>
      <c r="D7" s="16" t="s">
        <v>25</v>
      </c>
      <c r="E7" s="16" t="s">
        <v>25</v>
      </c>
      <c r="F7" s="16" t="s">
        <v>50</v>
      </c>
      <c r="G7" s="2"/>
      <c r="H7" s="2"/>
      <c r="I7" s="16" t="s">
        <v>25</v>
      </c>
      <c r="J7" s="16" t="s">
        <v>25</v>
      </c>
      <c r="K7" s="16" t="s">
        <v>25</v>
      </c>
      <c r="L7" s="16" t="s">
        <v>25</v>
      </c>
      <c r="M7" s="16" t="s">
        <v>25</v>
      </c>
      <c r="N7" s="2"/>
      <c r="O7" s="2"/>
      <c r="P7" s="17" t="s">
        <v>62</v>
      </c>
      <c r="Q7" s="17" t="s">
        <v>62</v>
      </c>
      <c r="R7" s="1" t="s">
        <v>22</v>
      </c>
      <c r="S7" s="16" t="s">
        <v>25</v>
      </c>
      <c r="T7" s="16" t="s">
        <v>25</v>
      </c>
      <c r="U7" s="2"/>
      <c r="V7" s="2"/>
      <c r="W7" s="16" t="s">
        <v>25</v>
      </c>
      <c r="X7" s="16" t="s">
        <v>25</v>
      </c>
      <c r="Y7" s="16" t="s">
        <v>25</v>
      </c>
      <c r="Z7" s="17" t="s">
        <v>62</v>
      </c>
      <c r="AA7" s="16" t="s">
        <v>25</v>
      </c>
      <c r="AB7" s="2"/>
      <c r="AC7" s="2"/>
      <c r="AD7" s="16" t="s">
        <v>25</v>
      </c>
      <c r="AE7" s="16" t="s">
        <v>25</v>
      </c>
      <c r="AF7" s="16" t="s">
        <v>25</v>
      </c>
      <c r="AG7" s="16" t="s">
        <v>25</v>
      </c>
    </row>
    <row r="8" spans="1:36" ht="18">
      <c r="A8" s="1">
        <v>6</v>
      </c>
      <c r="B8" s="1" t="s">
        <v>8</v>
      </c>
      <c r="C8" s="16" t="s">
        <v>25</v>
      </c>
      <c r="D8" s="16" t="s">
        <v>25</v>
      </c>
      <c r="E8" s="17" t="s">
        <v>62</v>
      </c>
      <c r="F8" s="16" t="s">
        <v>25</v>
      </c>
      <c r="G8" s="2"/>
      <c r="H8" s="2"/>
      <c r="I8" s="16" t="s">
        <v>25</v>
      </c>
      <c r="J8" s="16" t="s">
        <v>25</v>
      </c>
      <c r="K8" s="16" t="s">
        <v>25</v>
      </c>
      <c r="L8" s="16" t="s">
        <v>50</v>
      </c>
      <c r="M8" s="16" t="s">
        <v>25</v>
      </c>
      <c r="N8" s="2"/>
      <c r="O8" s="2"/>
      <c r="P8" s="16" t="s">
        <v>25</v>
      </c>
      <c r="Q8" s="16" t="s">
        <v>25</v>
      </c>
      <c r="R8" s="16" t="s">
        <v>25</v>
      </c>
      <c r="S8" s="16" t="s">
        <v>25</v>
      </c>
      <c r="T8" s="16" t="s">
        <v>25</v>
      </c>
      <c r="U8" s="2"/>
      <c r="V8" s="2"/>
      <c r="W8" s="16" t="s">
        <v>25</v>
      </c>
      <c r="X8" s="16" t="s">
        <v>25</v>
      </c>
      <c r="Y8" s="16" t="s">
        <v>25</v>
      </c>
      <c r="Z8" s="16" t="s">
        <v>50</v>
      </c>
      <c r="AA8" s="16" t="s">
        <v>25</v>
      </c>
      <c r="AB8" s="2"/>
      <c r="AC8" s="2"/>
      <c r="AD8" s="16" t="s">
        <v>25</v>
      </c>
      <c r="AE8" s="16" t="s">
        <v>25</v>
      </c>
      <c r="AF8" s="16" t="s">
        <v>25</v>
      </c>
      <c r="AG8" s="1" t="s">
        <v>50</v>
      </c>
    </row>
    <row r="9" spans="1:36" ht="18">
      <c r="A9" s="1">
        <v>7</v>
      </c>
      <c r="B9" s="1" t="s">
        <v>9</v>
      </c>
      <c r="C9" s="16" t="s">
        <v>25</v>
      </c>
      <c r="D9" s="16" t="s">
        <v>25</v>
      </c>
      <c r="E9" s="16" t="s">
        <v>25</v>
      </c>
      <c r="F9" s="16" t="s">
        <v>25</v>
      </c>
      <c r="G9" s="2"/>
      <c r="H9" s="2"/>
      <c r="I9" s="16" t="s">
        <v>25</v>
      </c>
      <c r="J9" s="16" t="s">
        <v>25</v>
      </c>
      <c r="K9" s="16" t="s">
        <v>25</v>
      </c>
      <c r="L9" s="16" t="s">
        <v>25</v>
      </c>
      <c r="M9" s="16" t="s">
        <v>25</v>
      </c>
      <c r="N9" s="2"/>
      <c r="O9" s="2"/>
      <c r="P9" s="16" t="s">
        <v>25</v>
      </c>
      <c r="Q9" s="16" t="s">
        <v>25</v>
      </c>
      <c r="R9" s="1" t="s">
        <v>50</v>
      </c>
      <c r="S9" s="16" t="s">
        <v>25</v>
      </c>
      <c r="T9" s="16" t="s">
        <v>25</v>
      </c>
      <c r="U9" s="2"/>
      <c r="V9" s="2"/>
      <c r="W9" s="16" t="s">
        <v>25</v>
      </c>
      <c r="X9" s="16" t="s">
        <v>25</v>
      </c>
      <c r="Y9" s="16" t="s">
        <v>25</v>
      </c>
      <c r="Z9" s="16" t="s">
        <v>25</v>
      </c>
      <c r="AA9" s="16" t="s">
        <v>50</v>
      </c>
      <c r="AB9" s="2"/>
      <c r="AC9" s="2"/>
      <c r="AD9" s="16" t="s">
        <v>25</v>
      </c>
      <c r="AE9" s="16" t="s">
        <v>25</v>
      </c>
      <c r="AF9" s="16" t="s">
        <v>25</v>
      </c>
      <c r="AG9" s="16" t="s">
        <v>25</v>
      </c>
    </row>
    <row r="10" spans="1:36" ht="18">
      <c r="A10" s="1">
        <v>8</v>
      </c>
      <c r="B10" s="1" t="s">
        <v>10</v>
      </c>
      <c r="C10" s="16" t="s">
        <v>25</v>
      </c>
      <c r="D10" s="16" t="s">
        <v>25</v>
      </c>
      <c r="E10" s="17" t="s">
        <v>62</v>
      </c>
      <c r="F10" s="16" t="s">
        <v>25</v>
      </c>
      <c r="G10" s="2"/>
      <c r="H10" s="2"/>
      <c r="I10" s="1" t="s">
        <v>62</v>
      </c>
      <c r="J10" s="16" t="s">
        <v>25</v>
      </c>
      <c r="K10" s="16" t="s">
        <v>25</v>
      </c>
      <c r="L10" s="16" t="s">
        <v>25</v>
      </c>
      <c r="M10" s="16" t="s">
        <v>25</v>
      </c>
      <c r="N10" s="2"/>
      <c r="O10" s="2"/>
      <c r="P10" s="16" t="s">
        <v>25</v>
      </c>
      <c r="Q10" s="16" t="s">
        <v>25</v>
      </c>
      <c r="R10" s="16" t="s">
        <v>25</v>
      </c>
      <c r="S10" s="16" t="s">
        <v>25</v>
      </c>
      <c r="T10" s="16" t="s">
        <v>25</v>
      </c>
      <c r="U10" s="2"/>
      <c r="V10" s="2"/>
      <c r="W10" s="16" t="s">
        <v>25</v>
      </c>
      <c r="X10" s="17" t="s">
        <v>62</v>
      </c>
      <c r="Y10" s="16" t="s">
        <v>25</v>
      </c>
      <c r="Z10" s="16" t="s">
        <v>25</v>
      </c>
      <c r="AA10" s="16" t="s">
        <v>50</v>
      </c>
      <c r="AB10" s="2"/>
      <c r="AC10" s="2"/>
      <c r="AD10" s="16" t="s">
        <v>25</v>
      </c>
      <c r="AE10" s="16" t="s">
        <v>25</v>
      </c>
      <c r="AF10" s="16" t="s">
        <v>25</v>
      </c>
      <c r="AG10" s="16" t="s">
        <v>25</v>
      </c>
    </row>
    <row r="11" spans="1:36" ht="18">
      <c r="A11" s="1">
        <v>9</v>
      </c>
      <c r="B11" s="1" t="s">
        <v>11</v>
      </c>
      <c r="C11" s="16" t="s">
        <v>25</v>
      </c>
      <c r="D11" s="16" t="s">
        <v>25</v>
      </c>
      <c r="E11" s="16" t="s">
        <v>25</v>
      </c>
      <c r="F11" s="16" t="s">
        <v>25</v>
      </c>
      <c r="G11" s="2"/>
      <c r="H11" s="2"/>
      <c r="I11" s="16" t="s">
        <v>25</v>
      </c>
      <c r="J11" s="16" t="s">
        <v>25</v>
      </c>
      <c r="K11" s="16" t="s">
        <v>25</v>
      </c>
      <c r="L11" s="17" t="s">
        <v>62</v>
      </c>
      <c r="M11" s="16" t="s">
        <v>25</v>
      </c>
      <c r="N11" s="2"/>
      <c r="O11" s="2"/>
      <c r="P11" s="16" t="s">
        <v>25</v>
      </c>
      <c r="Q11" s="16" t="s">
        <v>25</v>
      </c>
      <c r="R11" s="16" t="s">
        <v>25</v>
      </c>
      <c r="S11" s="16" t="s">
        <v>25</v>
      </c>
      <c r="T11" s="16" t="s">
        <v>25</v>
      </c>
      <c r="U11" s="2"/>
      <c r="V11" s="2"/>
      <c r="W11" s="16" t="s">
        <v>25</v>
      </c>
      <c r="X11" s="16" t="s">
        <v>25</v>
      </c>
      <c r="Y11" s="16" t="s">
        <v>25</v>
      </c>
      <c r="Z11" s="16" t="s">
        <v>25</v>
      </c>
      <c r="AA11" s="16" t="s">
        <v>25</v>
      </c>
      <c r="AB11" s="2"/>
      <c r="AC11" s="2"/>
      <c r="AD11" s="16" t="s">
        <v>25</v>
      </c>
      <c r="AE11" s="16" t="s">
        <v>25</v>
      </c>
      <c r="AF11" s="16" t="s">
        <v>30</v>
      </c>
      <c r="AG11" s="16" t="s">
        <v>25</v>
      </c>
    </row>
    <row r="12" spans="1:36" ht="18">
      <c r="A12" s="1">
        <v>10</v>
      </c>
      <c r="B12" s="1" t="s">
        <v>137</v>
      </c>
      <c r="C12" s="16" t="s">
        <v>25</v>
      </c>
      <c r="D12" s="17" t="s">
        <v>62</v>
      </c>
      <c r="E12" s="16" t="s">
        <v>25</v>
      </c>
      <c r="F12" s="16" t="s">
        <v>25</v>
      </c>
      <c r="G12" s="2"/>
      <c r="H12" s="2"/>
      <c r="I12" s="16" t="s">
        <v>25</v>
      </c>
      <c r="J12" s="16" t="s">
        <v>25</v>
      </c>
      <c r="K12" s="16" t="s">
        <v>25</v>
      </c>
      <c r="L12" s="16" t="s">
        <v>25</v>
      </c>
      <c r="M12" s="16" t="s">
        <v>25</v>
      </c>
      <c r="N12" s="2"/>
      <c r="O12" s="2"/>
      <c r="P12" s="16" t="s">
        <v>25</v>
      </c>
      <c r="Q12" s="16" t="s">
        <v>25</v>
      </c>
      <c r="R12" s="16" t="s">
        <v>25</v>
      </c>
      <c r="S12" s="16" t="s">
        <v>25</v>
      </c>
      <c r="T12" s="16" t="s">
        <v>25</v>
      </c>
      <c r="U12" s="2"/>
      <c r="V12" s="2"/>
      <c r="W12" s="16" t="s">
        <v>25</v>
      </c>
      <c r="X12" s="16" t="s">
        <v>25</v>
      </c>
      <c r="Y12" s="16" t="s">
        <v>25</v>
      </c>
      <c r="Z12" s="16" t="s">
        <v>25</v>
      </c>
      <c r="AA12" s="16" t="s">
        <v>25</v>
      </c>
      <c r="AB12" s="2"/>
      <c r="AC12" s="2"/>
      <c r="AD12" s="16" t="s">
        <v>25</v>
      </c>
      <c r="AE12" s="16" t="s">
        <v>25</v>
      </c>
      <c r="AF12" s="16" t="s">
        <v>25</v>
      </c>
      <c r="AG12" s="16" t="s">
        <v>25</v>
      </c>
    </row>
    <row r="13" spans="1:36" ht="18">
      <c r="A13" s="1">
        <v>11</v>
      </c>
      <c r="B13" s="1" t="s">
        <v>13</v>
      </c>
      <c r="C13" s="1" t="s">
        <v>92</v>
      </c>
      <c r="D13" s="1" t="s">
        <v>92</v>
      </c>
      <c r="E13" s="1" t="s">
        <v>92</v>
      </c>
      <c r="F13" s="1" t="s">
        <v>92</v>
      </c>
      <c r="G13" s="2"/>
      <c r="H13" s="2"/>
      <c r="I13" s="1" t="s">
        <v>92</v>
      </c>
      <c r="J13" s="1" t="s">
        <v>92</v>
      </c>
      <c r="K13" s="1" t="s">
        <v>92</v>
      </c>
      <c r="L13" s="1" t="s">
        <v>92</v>
      </c>
      <c r="M13" s="1" t="s">
        <v>92</v>
      </c>
      <c r="N13" s="2"/>
      <c r="O13" s="2"/>
      <c r="P13" s="16" t="s">
        <v>25</v>
      </c>
      <c r="Q13" s="16" t="s">
        <v>25</v>
      </c>
      <c r="R13" s="17" t="s">
        <v>62</v>
      </c>
      <c r="S13" s="17" t="s">
        <v>62</v>
      </c>
      <c r="T13" s="16" t="s">
        <v>25</v>
      </c>
      <c r="U13" s="2"/>
      <c r="V13" s="2"/>
      <c r="W13" s="16" t="s">
        <v>25</v>
      </c>
      <c r="X13" s="16" t="s">
        <v>25</v>
      </c>
      <c r="Y13" s="16" t="s">
        <v>25</v>
      </c>
      <c r="Z13" s="16" t="s">
        <v>25</v>
      </c>
      <c r="AA13" s="16" t="s">
        <v>25</v>
      </c>
      <c r="AB13" s="2"/>
      <c r="AC13" s="2"/>
      <c r="AD13" s="17" t="s">
        <v>62</v>
      </c>
      <c r="AE13" s="17" t="s">
        <v>62</v>
      </c>
      <c r="AF13" s="16" t="s">
        <v>25</v>
      </c>
      <c r="AG13" s="16" t="s">
        <v>25</v>
      </c>
    </row>
    <row r="14" spans="1:36" ht="18">
      <c r="A14" s="1">
        <v>12</v>
      </c>
      <c r="B14" s="1" t="s">
        <v>14</v>
      </c>
      <c r="C14" s="16" t="s">
        <v>25</v>
      </c>
      <c r="D14" s="16" t="s">
        <v>25</v>
      </c>
      <c r="E14" s="16" t="s">
        <v>25</v>
      </c>
      <c r="F14" s="16" t="s">
        <v>25</v>
      </c>
      <c r="G14" s="2"/>
      <c r="H14" s="2"/>
      <c r="I14" s="16" t="s">
        <v>25</v>
      </c>
      <c r="J14" s="16" t="s">
        <v>25</v>
      </c>
      <c r="K14" s="16" t="s">
        <v>25</v>
      </c>
      <c r="L14" s="16" t="s">
        <v>25</v>
      </c>
      <c r="M14" s="16" t="s">
        <v>25</v>
      </c>
      <c r="N14" s="2"/>
      <c r="O14" s="2"/>
      <c r="P14" s="16" t="s">
        <v>25</v>
      </c>
      <c r="Q14" s="16" t="s">
        <v>25</v>
      </c>
      <c r="R14" s="16" t="s">
        <v>25</v>
      </c>
      <c r="S14" s="16" t="s">
        <v>25</v>
      </c>
      <c r="T14" s="16" t="s">
        <v>25</v>
      </c>
      <c r="U14" s="2"/>
      <c r="V14" s="2"/>
      <c r="W14" s="16" t="s">
        <v>25</v>
      </c>
      <c r="X14" s="16" t="s">
        <v>25</v>
      </c>
      <c r="Y14" s="16" t="s">
        <v>25</v>
      </c>
      <c r="Z14" s="16" t="s">
        <v>25</v>
      </c>
      <c r="AA14" s="16" t="s">
        <v>25</v>
      </c>
      <c r="AB14" s="2"/>
      <c r="AC14" s="2"/>
      <c r="AD14" s="16" t="s">
        <v>25</v>
      </c>
      <c r="AE14" s="16" t="s">
        <v>25</v>
      </c>
      <c r="AF14" s="16" t="s">
        <v>25</v>
      </c>
      <c r="AG14" s="16" t="s">
        <v>25</v>
      </c>
    </row>
    <row r="15" spans="1:36" ht="18">
      <c r="A15" s="1">
        <v>13</v>
      </c>
      <c r="B15" s="1" t="s">
        <v>88</v>
      </c>
      <c r="C15" s="16" t="s">
        <v>25</v>
      </c>
      <c r="D15" s="16" t="s">
        <v>25</v>
      </c>
      <c r="E15" s="16" t="s">
        <v>25</v>
      </c>
      <c r="F15" s="16" t="s">
        <v>25</v>
      </c>
      <c r="G15" s="2"/>
      <c r="H15" s="2"/>
      <c r="I15" s="17" t="s">
        <v>62</v>
      </c>
      <c r="J15" s="16" t="s">
        <v>25</v>
      </c>
      <c r="K15" s="16" t="s">
        <v>25</v>
      </c>
      <c r="L15" s="16" t="s">
        <v>30</v>
      </c>
      <c r="M15" s="16" t="s">
        <v>25</v>
      </c>
      <c r="N15" s="2"/>
      <c r="O15" s="2"/>
      <c r="P15" s="17" t="s">
        <v>62</v>
      </c>
      <c r="Q15" s="16" t="s">
        <v>25</v>
      </c>
      <c r="R15" s="16" t="s">
        <v>25</v>
      </c>
      <c r="S15" s="16" t="s">
        <v>25</v>
      </c>
      <c r="T15" s="16" t="s">
        <v>25</v>
      </c>
      <c r="U15" s="2"/>
      <c r="V15" s="2"/>
      <c r="W15" s="16" t="s">
        <v>25</v>
      </c>
      <c r="X15" s="16" t="s">
        <v>30</v>
      </c>
      <c r="Y15" s="16" t="s">
        <v>25</v>
      </c>
      <c r="Z15" s="16" t="s">
        <v>25</v>
      </c>
      <c r="AA15" s="16" t="s">
        <v>50</v>
      </c>
      <c r="AB15" s="2"/>
      <c r="AC15" s="2"/>
      <c r="AD15" s="16" t="s">
        <v>25</v>
      </c>
      <c r="AE15" s="16" t="s">
        <v>25</v>
      </c>
      <c r="AF15" s="16" t="s">
        <v>25</v>
      </c>
      <c r="AG15" s="16" t="s">
        <v>25</v>
      </c>
    </row>
    <row r="16" spans="1:36" ht="18">
      <c r="A16" s="1">
        <v>14</v>
      </c>
      <c r="B16" s="1" t="s">
        <v>60</v>
      </c>
      <c r="C16" s="16" t="s">
        <v>30</v>
      </c>
      <c r="D16" s="16" t="s">
        <v>25</v>
      </c>
      <c r="E16" s="16" t="s">
        <v>25</v>
      </c>
      <c r="F16" s="16" t="s">
        <v>25</v>
      </c>
      <c r="G16" s="2"/>
      <c r="H16" s="2"/>
      <c r="I16" s="16" t="s">
        <v>25</v>
      </c>
      <c r="J16" s="16" t="s">
        <v>25</v>
      </c>
      <c r="K16" s="16" t="s">
        <v>25</v>
      </c>
      <c r="L16" s="16" t="s">
        <v>25</v>
      </c>
      <c r="M16" s="16" t="s">
        <v>25</v>
      </c>
      <c r="N16" s="2"/>
      <c r="O16" s="2"/>
      <c r="P16" s="16" t="s">
        <v>25</v>
      </c>
      <c r="Q16" s="16" t="s">
        <v>25</v>
      </c>
      <c r="R16" s="16" t="s">
        <v>25</v>
      </c>
      <c r="S16" s="16" t="s">
        <v>25</v>
      </c>
      <c r="T16" s="1" t="s">
        <v>62</v>
      </c>
      <c r="U16" s="2"/>
      <c r="V16" s="2"/>
      <c r="W16" s="1" t="s">
        <v>50</v>
      </c>
      <c r="X16" s="16" t="s">
        <v>25</v>
      </c>
      <c r="Y16" s="16" t="s">
        <v>25</v>
      </c>
      <c r="Z16" s="16" t="s">
        <v>25</v>
      </c>
      <c r="AA16" s="16" t="s">
        <v>25</v>
      </c>
      <c r="AB16" s="2"/>
      <c r="AC16" s="2"/>
      <c r="AD16" s="16" t="s">
        <v>25</v>
      </c>
      <c r="AE16" s="16" t="s">
        <v>25</v>
      </c>
      <c r="AF16" s="16" t="s">
        <v>25</v>
      </c>
      <c r="AG16" s="16" t="s">
        <v>25</v>
      </c>
    </row>
    <row r="17" spans="1:33" ht="18">
      <c r="A17" s="1">
        <v>15</v>
      </c>
      <c r="B17" s="1" t="s">
        <v>66</v>
      </c>
      <c r="C17" s="1" t="s">
        <v>92</v>
      </c>
      <c r="D17" s="1" t="s">
        <v>92</v>
      </c>
      <c r="E17" s="1" t="s">
        <v>92</v>
      </c>
      <c r="F17" s="1" t="s">
        <v>92</v>
      </c>
      <c r="G17" s="2"/>
      <c r="H17" s="2"/>
      <c r="I17" s="1" t="s">
        <v>92</v>
      </c>
      <c r="J17" s="1" t="s">
        <v>92</v>
      </c>
      <c r="K17" s="1" t="s">
        <v>92</v>
      </c>
      <c r="L17" s="1" t="s">
        <v>92</v>
      </c>
      <c r="M17" s="1" t="s">
        <v>92</v>
      </c>
      <c r="N17" s="2"/>
      <c r="O17" s="2"/>
      <c r="P17" s="1" t="s">
        <v>92</v>
      </c>
      <c r="Q17" s="1" t="s">
        <v>92</v>
      </c>
      <c r="R17" s="1" t="s">
        <v>92</v>
      </c>
      <c r="S17" s="1" t="s">
        <v>92</v>
      </c>
      <c r="T17" s="1" t="s">
        <v>92</v>
      </c>
      <c r="U17" s="2"/>
      <c r="V17" s="2"/>
      <c r="W17" s="1" t="s">
        <v>92</v>
      </c>
      <c r="X17" s="16" t="s">
        <v>25</v>
      </c>
      <c r="Y17" s="16" t="s">
        <v>25</v>
      </c>
      <c r="Z17" s="16" t="s">
        <v>25</v>
      </c>
      <c r="AA17" s="16" t="s">
        <v>25</v>
      </c>
      <c r="AB17" s="2"/>
      <c r="AC17" s="2"/>
      <c r="AD17" s="16" t="s">
        <v>25</v>
      </c>
      <c r="AE17" s="16" t="s">
        <v>25</v>
      </c>
      <c r="AF17" s="16" t="s">
        <v>25</v>
      </c>
      <c r="AG17" s="16" t="s">
        <v>25</v>
      </c>
    </row>
    <row r="18" spans="1:33" ht="18">
      <c r="A18" s="1">
        <v>16</v>
      </c>
      <c r="B18" s="1" t="s">
        <v>87</v>
      </c>
      <c r="C18" s="16" t="s">
        <v>25</v>
      </c>
      <c r="D18" s="16" t="s">
        <v>25</v>
      </c>
      <c r="E18" s="16" t="s">
        <v>25</v>
      </c>
      <c r="F18" s="16" t="s">
        <v>25</v>
      </c>
      <c r="G18" s="2"/>
      <c r="H18" s="2"/>
      <c r="I18" s="16" t="s">
        <v>50</v>
      </c>
      <c r="J18" s="16" t="s">
        <v>25</v>
      </c>
      <c r="K18" s="16" t="s">
        <v>25</v>
      </c>
      <c r="L18" s="16" t="s">
        <v>25</v>
      </c>
      <c r="M18" s="16" t="s">
        <v>25</v>
      </c>
      <c r="N18" s="2"/>
      <c r="O18" s="2"/>
      <c r="P18" s="16" t="s">
        <v>25</v>
      </c>
      <c r="Q18" s="16" t="s">
        <v>25</v>
      </c>
      <c r="R18" s="16" t="s">
        <v>25</v>
      </c>
      <c r="S18" s="16" t="s">
        <v>25</v>
      </c>
      <c r="T18" s="16" t="s">
        <v>25</v>
      </c>
      <c r="U18" s="2"/>
      <c r="V18" s="2"/>
      <c r="W18" s="16" t="s">
        <v>25</v>
      </c>
      <c r="X18" s="16" t="s">
        <v>25</v>
      </c>
      <c r="Y18" s="16" t="s">
        <v>25</v>
      </c>
      <c r="Z18" s="16" t="s">
        <v>25</v>
      </c>
      <c r="AA18" s="16" t="s">
        <v>25</v>
      </c>
      <c r="AB18" s="2"/>
      <c r="AC18" s="2"/>
      <c r="AD18" s="16" t="s">
        <v>50</v>
      </c>
      <c r="AE18" s="16" t="s">
        <v>25</v>
      </c>
      <c r="AF18" s="16" t="s">
        <v>25</v>
      </c>
      <c r="AG18" s="16" t="s">
        <v>25</v>
      </c>
    </row>
    <row r="19" spans="1:33" ht="18">
      <c r="A19" s="1">
        <v>17</v>
      </c>
      <c r="B19" s="1" t="s">
        <v>104</v>
      </c>
      <c r="C19" s="1" t="s">
        <v>92</v>
      </c>
      <c r="D19" s="1" t="s">
        <v>92</v>
      </c>
      <c r="E19" s="1" t="s">
        <v>92</v>
      </c>
      <c r="F19" s="1" t="s">
        <v>92</v>
      </c>
      <c r="G19" s="2"/>
      <c r="H19" s="2"/>
      <c r="I19" s="1" t="s">
        <v>92</v>
      </c>
      <c r="J19" s="1" t="s">
        <v>92</v>
      </c>
      <c r="K19" s="1" t="s">
        <v>92</v>
      </c>
      <c r="L19" s="1" t="s">
        <v>92</v>
      </c>
      <c r="M19" s="1" t="s">
        <v>92</v>
      </c>
      <c r="N19" s="2"/>
      <c r="O19" s="2"/>
      <c r="P19" s="1" t="s">
        <v>92</v>
      </c>
      <c r="Q19" s="1" t="s">
        <v>92</v>
      </c>
      <c r="R19" s="1" t="s">
        <v>92</v>
      </c>
      <c r="S19" s="1" t="s">
        <v>92</v>
      </c>
      <c r="T19" s="1" t="s">
        <v>92</v>
      </c>
      <c r="U19" s="2"/>
      <c r="V19" s="2"/>
      <c r="W19" s="1" t="s">
        <v>92</v>
      </c>
      <c r="X19" s="16" t="s">
        <v>25</v>
      </c>
      <c r="Y19" s="16" t="s">
        <v>25</v>
      </c>
      <c r="Z19" s="16" t="s">
        <v>25</v>
      </c>
      <c r="AA19" s="16" t="s">
        <v>25</v>
      </c>
      <c r="AB19" s="2"/>
      <c r="AC19" s="2"/>
      <c r="AD19" s="16" t="s">
        <v>25</v>
      </c>
      <c r="AE19" s="16" t="s">
        <v>25</v>
      </c>
      <c r="AF19" s="16" t="s">
        <v>25</v>
      </c>
      <c r="AG19" s="16" t="s">
        <v>25</v>
      </c>
    </row>
    <row r="20" spans="1:33">
      <c r="A20" s="5" t="s">
        <v>25</v>
      </c>
      <c r="B20" t="s">
        <v>23</v>
      </c>
    </row>
    <row r="21" spans="1:33">
      <c r="A21" s="4" t="s">
        <v>50</v>
      </c>
      <c r="B21" t="s">
        <v>24</v>
      </c>
    </row>
    <row r="22" spans="1:33">
      <c r="A22" s="7" t="s">
        <v>30</v>
      </c>
      <c r="B22" s="6" t="s">
        <v>29</v>
      </c>
    </row>
    <row r="24" spans="1:33">
      <c r="A24" s="11" t="s">
        <v>43</v>
      </c>
    </row>
    <row r="25" spans="1:33">
      <c r="A25" s="12" t="s">
        <v>44</v>
      </c>
    </row>
    <row r="26" spans="1:33">
      <c r="A26" s="12" t="s">
        <v>45</v>
      </c>
    </row>
    <row r="27" spans="1:33">
      <c r="A27" s="12" t="s">
        <v>41</v>
      </c>
    </row>
    <row r="28" spans="1:33">
      <c r="A28" s="12" t="s">
        <v>46</v>
      </c>
    </row>
    <row r="29" spans="1:33">
      <c r="A29" s="12" t="s">
        <v>47</v>
      </c>
    </row>
    <row r="30" spans="1:33">
      <c r="A30" s="12" t="s">
        <v>42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30" priority="2"/>
  </conditionalFormatting>
  <conditionalFormatting sqref="B19">
    <cfRule type="duplicateValues" dxfId="29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H20"/>
  <sheetViews>
    <sheetView workbookViewId="0">
      <selection activeCell="AK23" sqref="AK23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3" width="8.83203125" hidden="1" customWidth="1"/>
  </cols>
  <sheetData>
    <row r="1" spans="1:34" ht="27">
      <c r="A1" s="71" t="s">
        <v>17</v>
      </c>
      <c r="B1" s="71"/>
      <c r="C1" s="64" t="s">
        <v>58</v>
      </c>
      <c r="D1" s="68">
        <v>45474</v>
      </c>
      <c r="E1" s="68">
        <v>45475</v>
      </c>
      <c r="F1" s="68">
        <v>45476</v>
      </c>
      <c r="G1" s="68">
        <v>45477</v>
      </c>
      <c r="H1" s="68">
        <v>45478</v>
      </c>
      <c r="I1" s="68">
        <v>45479</v>
      </c>
      <c r="J1" s="68">
        <v>45480</v>
      </c>
      <c r="K1" s="68">
        <v>45481</v>
      </c>
      <c r="L1" s="68">
        <v>45482</v>
      </c>
      <c r="M1" s="68">
        <v>45483</v>
      </c>
      <c r="N1" s="68">
        <v>45484</v>
      </c>
      <c r="O1" s="68">
        <v>45485</v>
      </c>
      <c r="P1" s="68">
        <v>45486</v>
      </c>
      <c r="Q1" s="68">
        <v>45487</v>
      </c>
      <c r="R1" s="68">
        <v>45488</v>
      </c>
      <c r="S1" s="68">
        <v>45489</v>
      </c>
      <c r="T1" s="68">
        <v>45490</v>
      </c>
      <c r="U1" s="68">
        <v>45491</v>
      </c>
      <c r="V1" s="68">
        <v>45492</v>
      </c>
      <c r="W1" s="68">
        <v>45493</v>
      </c>
      <c r="X1" s="68">
        <v>45494</v>
      </c>
      <c r="Y1" s="68">
        <v>45495</v>
      </c>
      <c r="Z1" s="68">
        <v>45496</v>
      </c>
      <c r="AA1" s="68">
        <v>45497</v>
      </c>
      <c r="AB1" s="68">
        <v>45498</v>
      </c>
      <c r="AC1" s="68">
        <v>45499</v>
      </c>
      <c r="AD1" s="68">
        <v>45500</v>
      </c>
      <c r="AE1" s="68">
        <v>45501</v>
      </c>
      <c r="AF1" s="68">
        <v>45502</v>
      </c>
      <c r="AG1" s="68">
        <v>45503</v>
      </c>
      <c r="AH1" s="68">
        <v>45504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2"/>
      <c r="I3" s="2"/>
      <c r="J3" s="1">
        <v>0</v>
      </c>
      <c r="K3" s="1">
        <v>0</v>
      </c>
      <c r="L3" s="1">
        <v>0</v>
      </c>
      <c r="M3" s="1">
        <v>0</v>
      </c>
      <c r="N3" s="1">
        <v>0</v>
      </c>
      <c r="O3" s="2"/>
      <c r="P3" s="2"/>
      <c r="Q3" s="1">
        <v>0</v>
      </c>
      <c r="R3" s="1">
        <v>0</v>
      </c>
      <c r="S3" s="1">
        <v>0</v>
      </c>
      <c r="T3" s="1">
        <v>0</v>
      </c>
      <c r="U3" s="1">
        <v>0</v>
      </c>
      <c r="V3" s="2"/>
      <c r="W3" s="2"/>
      <c r="X3" s="1">
        <v>0</v>
      </c>
      <c r="Y3" s="1">
        <v>0</v>
      </c>
      <c r="Z3" s="1">
        <v>0</v>
      </c>
      <c r="AA3" s="1">
        <v>0</v>
      </c>
      <c r="AB3" s="1">
        <v>0</v>
      </c>
      <c r="AC3" s="2"/>
      <c r="AD3" s="2"/>
      <c r="AE3" s="1">
        <v>0</v>
      </c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8" si="0">SUM(D4:AH4)</f>
        <v>8</v>
      </c>
      <c r="D4" s="1">
        <v>0</v>
      </c>
      <c r="E4" s="1">
        <v>0</v>
      </c>
      <c r="F4" s="1">
        <v>0</v>
      </c>
      <c r="G4" s="1">
        <v>0</v>
      </c>
      <c r="H4" s="2"/>
      <c r="I4" s="2"/>
      <c r="J4" s="1">
        <v>0</v>
      </c>
      <c r="K4" s="1">
        <v>0</v>
      </c>
      <c r="L4" s="1">
        <v>0</v>
      </c>
      <c r="M4" s="1">
        <v>0</v>
      </c>
      <c r="N4" s="1">
        <v>0</v>
      </c>
      <c r="O4" s="2"/>
      <c r="P4" s="2"/>
      <c r="Q4" s="1">
        <v>1</v>
      </c>
      <c r="R4" s="1">
        <v>0</v>
      </c>
      <c r="S4" s="1">
        <v>0</v>
      </c>
      <c r="T4" s="1">
        <v>0</v>
      </c>
      <c r="U4" s="1">
        <v>0</v>
      </c>
      <c r="V4" s="2"/>
      <c r="W4" s="2"/>
      <c r="X4" s="1">
        <v>7</v>
      </c>
      <c r="Y4" s="1">
        <v>0</v>
      </c>
      <c r="Z4" s="1">
        <v>0</v>
      </c>
      <c r="AA4" s="1">
        <v>0</v>
      </c>
      <c r="AB4" s="1">
        <v>0</v>
      </c>
      <c r="AC4" s="2"/>
      <c r="AD4" s="2"/>
      <c r="AE4" s="1">
        <v>0</v>
      </c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13</v>
      </c>
      <c r="D5" s="1">
        <v>0</v>
      </c>
      <c r="E5" s="1">
        <v>0</v>
      </c>
      <c r="F5" s="1">
        <v>0</v>
      </c>
      <c r="G5" s="1">
        <v>3</v>
      </c>
      <c r="H5" s="2"/>
      <c r="I5" s="2"/>
      <c r="J5" s="1">
        <v>0</v>
      </c>
      <c r="K5" s="1">
        <v>0</v>
      </c>
      <c r="L5" s="1">
        <v>0</v>
      </c>
      <c r="M5" s="1">
        <v>0</v>
      </c>
      <c r="N5" s="1">
        <v>8</v>
      </c>
      <c r="O5" s="2"/>
      <c r="P5" s="2"/>
      <c r="Q5" s="1">
        <v>0</v>
      </c>
      <c r="R5" s="1">
        <v>0</v>
      </c>
      <c r="S5" s="1">
        <v>0</v>
      </c>
      <c r="T5" s="1">
        <v>0</v>
      </c>
      <c r="U5" s="1">
        <v>0</v>
      </c>
      <c r="V5" s="2"/>
      <c r="W5" s="2"/>
      <c r="X5" s="1">
        <v>0</v>
      </c>
      <c r="Y5" s="1">
        <v>0</v>
      </c>
      <c r="Z5" s="1">
        <v>2</v>
      </c>
      <c r="AA5" s="1">
        <v>0</v>
      </c>
      <c r="AB5" s="1">
        <v>0</v>
      </c>
      <c r="AC5" s="2"/>
      <c r="AD5" s="2"/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3</v>
      </c>
      <c r="D6" s="1">
        <v>0</v>
      </c>
      <c r="E6" s="1">
        <v>0</v>
      </c>
      <c r="F6" s="1">
        <v>0</v>
      </c>
      <c r="G6" s="1">
        <v>0</v>
      </c>
      <c r="H6" s="2"/>
      <c r="I6" s="2"/>
      <c r="J6" s="1">
        <v>0</v>
      </c>
      <c r="K6" s="1">
        <v>0</v>
      </c>
      <c r="L6" s="1">
        <v>0</v>
      </c>
      <c r="M6" s="1">
        <v>0</v>
      </c>
      <c r="N6" s="1">
        <v>0</v>
      </c>
      <c r="O6" s="2"/>
      <c r="P6" s="2"/>
      <c r="Q6" s="1">
        <v>0</v>
      </c>
      <c r="R6" s="1">
        <v>0</v>
      </c>
      <c r="S6" s="1">
        <v>0</v>
      </c>
      <c r="T6" s="1">
        <v>0</v>
      </c>
      <c r="U6" s="1">
        <v>2</v>
      </c>
      <c r="V6" s="2"/>
      <c r="W6" s="2"/>
      <c r="X6" s="1">
        <v>0</v>
      </c>
      <c r="Y6" s="1">
        <v>0</v>
      </c>
      <c r="Z6" s="1">
        <v>0</v>
      </c>
      <c r="AA6" s="1">
        <v>0</v>
      </c>
      <c r="AB6" s="1">
        <v>0</v>
      </c>
      <c r="AC6" s="2"/>
      <c r="AD6" s="2"/>
      <c r="AE6" s="1">
        <v>0</v>
      </c>
      <c r="AF6" s="1">
        <v>1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32</v>
      </c>
      <c r="D7" s="1">
        <v>0</v>
      </c>
      <c r="E7" s="1">
        <v>0</v>
      </c>
      <c r="F7" s="1">
        <v>0</v>
      </c>
      <c r="G7" s="1">
        <v>16</v>
      </c>
      <c r="H7" s="2"/>
      <c r="I7" s="2"/>
      <c r="J7" s="1">
        <v>0</v>
      </c>
      <c r="K7" s="1">
        <v>0</v>
      </c>
      <c r="L7" s="1">
        <v>0</v>
      </c>
      <c r="M7" s="1">
        <v>0</v>
      </c>
      <c r="N7" s="1">
        <v>0</v>
      </c>
      <c r="O7" s="2"/>
      <c r="P7" s="2"/>
      <c r="Q7" s="1">
        <v>0</v>
      </c>
      <c r="R7" s="1">
        <v>0</v>
      </c>
      <c r="S7" s="1">
        <v>16</v>
      </c>
      <c r="T7" s="1">
        <v>0</v>
      </c>
      <c r="U7" s="1">
        <v>0</v>
      </c>
      <c r="V7" s="2"/>
      <c r="W7" s="2"/>
      <c r="X7" s="1">
        <v>0</v>
      </c>
      <c r="Y7" s="1">
        <v>0</v>
      </c>
      <c r="Z7" s="1">
        <v>0</v>
      </c>
      <c r="AA7" s="1">
        <v>0</v>
      </c>
      <c r="AB7" s="1">
        <v>0</v>
      </c>
      <c r="AC7" s="2"/>
      <c r="AD7" s="2"/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48</v>
      </c>
      <c r="D8" s="1">
        <v>0</v>
      </c>
      <c r="E8" s="1">
        <v>0</v>
      </c>
      <c r="F8" s="1">
        <v>0</v>
      </c>
      <c r="G8" s="1">
        <v>0</v>
      </c>
      <c r="H8" s="2"/>
      <c r="I8" s="2"/>
      <c r="J8" s="1">
        <v>0</v>
      </c>
      <c r="K8" s="1">
        <v>0</v>
      </c>
      <c r="L8" s="1">
        <v>0</v>
      </c>
      <c r="M8" s="1">
        <v>16</v>
      </c>
      <c r="N8" s="1">
        <v>0</v>
      </c>
      <c r="O8" s="2"/>
      <c r="P8" s="2"/>
      <c r="Q8" s="1">
        <v>0</v>
      </c>
      <c r="R8" s="1">
        <v>0</v>
      </c>
      <c r="S8" s="1">
        <v>0</v>
      </c>
      <c r="T8" s="1">
        <v>0</v>
      </c>
      <c r="U8" s="1">
        <v>0</v>
      </c>
      <c r="V8" s="2"/>
      <c r="W8" s="2"/>
      <c r="X8" s="1">
        <v>0</v>
      </c>
      <c r="Y8" s="1">
        <v>0</v>
      </c>
      <c r="Z8" s="1">
        <v>0</v>
      </c>
      <c r="AA8" s="1">
        <v>16</v>
      </c>
      <c r="AB8" s="1">
        <v>0</v>
      </c>
      <c r="AC8" s="2"/>
      <c r="AD8" s="2"/>
      <c r="AE8" s="1">
        <v>0</v>
      </c>
      <c r="AF8" s="1">
        <v>0</v>
      </c>
      <c r="AG8" s="1">
        <v>0</v>
      </c>
      <c r="AH8" s="1">
        <v>16</v>
      </c>
    </row>
    <row r="9" spans="1:34">
      <c r="A9" s="1">
        <v>7</v>
      </c>
      <c r="B9" s="1" t="s">
        <v>9</v>
      </c>
      <c r="C9" s="1">
        <f t="shared" si="0"/>
        <v>27</v>
      </c>
      <c r="D9" s="1">
        <v>0</v>
      </c>
      <c r="E9" s="1">
        <v>0</v>
      </c>
      <c r="F9" s="1">
        <v>8</v>
      </c>
      <c r="G9" s="1">
        <v>0</v>
      </c>
      <c r="H9" s="2"/>
      <c r="I9" s="2"/>
      <c r="J9" s="1">
        <v>0</v>
      </c>
      <c r="K9" s="1">
        <v>0</v>
      </c>
      <c r="L9" s="1">
        <v>0</v>
      </c>
      <c r="M9" s="1">
        <v>0</v>
      </c>
      <c r="N9" s="1">
        <v>0</v>
      </c>
      <c r="O9" s="2"/>
      <c r="P9" s="2"/>
      <c r="Q9" s="1">
        <v>0</v>
      </c>
      <c r="R9" s="1">
        <v>0</v>
      </c>
      <c r="S9" s="1">
        <v>16</v>
      </c>
      <c r="T9" s="1">
        <v>0</v>
      </c>
      <c r="U9" s="1">
        <v>0</v>
      </c>
      <c r="V9" s="2"/>
      <c r="W9" s="2"/>
      <c r="X9" s="1">
        <v>0</v>
      </c>
      <c r="Y9" s="1">
        <v>0</v>
      </c>
      <c r="Z9" s="1">
        <v>2</v>
      </c>
      <c r="AA9" s="1">
        <v>0</v>
      </c>
      <c r="AB9" s="1">
        <v>1</v>
      </c>
      <c r="AC9" s="2"/>
      <c r="AD9" s="2"/>
      <c r="AE9" s="1">
        <v>0</v>
      </c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2"/>
      <c r="I10" s="2"/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2"/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/>
      <c r="W10" s="2"/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2"/>
      <c r="AD10" s="2"/>
      <c r="AE10" s="1">
        <v>0</v>
      </c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1</v>
      </c>
      <c r="D11" s="1">
        <v>0</v>
      </c>
      <c r="E11" s="1">
        <v>0</v>
      </c>
      <c r="F11" s="1">
        <v>0</v>
      </c>
      <c r="G11" s="1">
        <v>0</v>
      </c>
      <c r="H11" s="2"/>
      <c r="I11" s="2"/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2"/>
      <c r="P11" s="2"/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2"/>
      <c r="W11" s="2"/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2"/>
      <c r="AD11" s="2"/>
      <c r="AE11" s="1">
        <v>0</v>
      </c>
      <c r="AF11" s="1">
        <v>0</v>
      </c>
      <c r="AG11" s="1">
        <v>1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1">
        <v>0</v>
      </c>
      <c r="H12" s="2"/>
      <c r="I12" s="2"/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2"/>
      <c r="P12" s="2"/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2"/>
      <c r="W12" s="2"/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2"/>
      <c r="AD12" s="2"/>
      <c r="AE12" s="1">
        <v>0</v>
      </c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1">
        <v>0</v>
      </c>
      <c r="F13" s="1">
        <v>0</v>
      </c>
      <c r="G13" s="1">
        <v>0</v>
      </c>
      <c r="H13" s="2"/>
      <c r="I13" s="2"/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2"/>
      <c r="P13" s="2"/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2"/>
      <c r="W13" s="2"/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2"/>
      <c r="AD13" s="2"/>
      <c r="AE13" s="1">
        <v>0</v>
      </c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8</v>
      </c>
      <c r="D14" s="1">
        <v>0</v>
      </c>
      <c r="E14" s="1">
        <v>0</v>
      </c>
      <c r="F14" s="1">
        <v>0</v>
      </c>
      <c r="G14" s="1">
        <v>8</v>
      </c>
      <c r="H14" s="2"/>
      <c r="I14" s="2"/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2"/>
      <c r="P14" s="2"/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/>
      <c r="W14" s="2"/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2"/>
      <c r="AD14" s="2"/>
      <c r="AE14" s="1">
        <v>0</v>
      </c>
      <c r="AF14" s="1">
        <v>0</v>
      </c>
      <c r="AG14" s="1">
        <v>0</v>
      </c>
      <c r="AH14" s="1">
        <v>0</v>
      </c>
    </row>
    <row r="15" spans="1:34" ht="16.25" customHeight="1">
      <c r="A15" s="1">
        <v>13</v>
      </c>
      <c r="B15" s="1" t="s">
        <v>16</v>
      </c>
      <c r="C15" s="1">
        <f t="shared" si="0"/>
        <v>18</v>
      </c>
      <c r="D15" s="1">
        <v>0</v>
      </c>
      <c r="E15" s="1">
        <v>0</v>
      </c>
      <c r="F15" s="1">
        <v>0</v>
      </c>
      <c r="G15" s="1">
        <v>7</v>
      </c>
      <c r="H15" s="2"/>
      <c r="I15" s="2"/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2"/>
      <c r="P15" s="2"/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2"/>
      <c r="W15" s="2"/>
      <c r="X15" s="1">
        <v>0</v>
      </c>
      <c r="Y15" s="1">
        <v>2</v>
      </c>
      <c r="Z15" s="1">
        <v>0</v>
      </c>
      <c r="AA15" s="1">
        <v>0</v>
      </c>
      <c r="AB15" s="1">
        <v>8</v>
      </c>
      <c r="AC15" s="2"/>
      <c r="AD15" s="2"/>
      <c r="AE15" s="1">
        <v>0</v>
      </c>
      <c r="AF15" s="1">
        <v>0</v>
      </c>
      <c r="AG15" s="1">
        <v>0</v>
      </c>
      <c r="AH15" s="1">
        <v>0</v>
      </c>
    </row>
    <row r="16" spans="1:34">
      <c r="A16" s="1">
        <v>14</v>
      </c>
      <c r="B16" s="1" t="s">
        <v>60</v>
      </c>
      <c r="C16" s="1">
        <f t="shared" si="0"/>
        <v>16</v>
      </c>
      <c r="D16" s="1">
        <v>0</v>
      </c>
      <c r="E16" s="1">
        <v>0</v>
      </c>
      <c r="F16" s="1">
        <v>0</v>
      </c>
      <c r="G16" s="1">
        <v>0</v>
      </c>
      <c r="H16" s="2"/>
      <c r="I16" s="2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2"/>
      <c r="P16" s="2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/>
      <c r="W16" s="2"/>
      <c r="X16" s="1">
        <v>16</v>
      </c>
      <c r="Y16" s="1">
        <v>0</v>
      </c>
      <c r="Z16" s="1">
        <v>0</v>
      </c>
      <c r="AA16" s="1">
        <v>0</v>
      </c>
      <c r="AB16" s="1">
        <v>0</v>
      </c>
      <c r="AC16" s="2"/>
      <c r="AD16" s="2"/>
      <c r="AE16" s="1">
        <v>0</v>
      </c>
      <c r="AF16" s="1">
        <v>0</v>
      </c>
      <c r="AG16" s="1">
        <v>0</v>
      </c>
      <c r="AH16" s="1">
        <v>0</v>
      </c>
    </row>
    <row r="17" spans="1:34" ht="16.25" customHeight="1">
      <c r="A17" s="1">
        <v>15</v>
      </c>
      <c r="B17" s="1" t="s">
        <v>66</v>
      </c>
      <c r="C17" s="1">
        <f t="shared" si="0"/>
        <v>0</v>
      </c>
      <c r="D17" s="1">
        <v>0</v>
      </c>
      <c r="E17" s="1">
        <v>0</v>
      </c>
      <c r="F17" s="1">
        <v>0</v>
      </c>
      <c r="G17" s="1">
        <v>0</v>
      </c>
      <c r="H17" s="2"/>
      <c r="I17" s="2"/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2"/>
      <c r="P17" s="2"/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2"/>
      <c r="W17" s="2"/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/>
      <c r="AD17" s="2"/>
      <c r="AE17" s="1">
        <v>0</v>
      </c>
      <c r="AF17" s="1">
        <v>0</v>
      </c>
      <c r="AG17" s="1">
        <v>0</v>
      </c>
      <c r="AH17" s="1">
        <v>0</v>
      </c>
    </row>
    <row r="18" spans="1:34" ht="16.25" customHeight="1">
      <c r="A18" s="1">
        <v>16</v>
      </c>
      <c r="B18" s="1" t="s">
        <v>87</v>
      </c>
      <c r="C18" s="1">
        <f t="shared" si="0"/>
        <v>32</v>
      </c>
      <c r="D18" s="1">
        <v>0</v>
      </c>
      <c r="E18" s="1">
        <v>0</v>
      </c>
      <c r="F18" s="1">
        <v>0</v>
      </c>
      <c r="G18" s="1">
        <v>0</v>
      </c>
      <c r="H18" s="2"/>
      <c r="I18" s="2"/>
      <c r="J18" s="1">
        <v>16</v>
      </c>
      <c r="K18" s="1">
        <v>0</v>
      </c>
      <c r="L18" s="1">
        <v>0</v>
      </c>
      <c r="M18" s="1">
        <v>0</v>
      </c>
      <c r="N18" s="1">
        <v>0</v>
      </c>
      <c r="O18" s="2"/>
      <c r="P18" s="2"/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2"/>
      <c r="W18" s="2"/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/>
      <c r="AD18" s="2"/>
      <c r="AE18" s="1">
        <v>16</v>
      </c>
      <c r="AF18" s="1">
        <v>0</v>
      </c>
      <c r="AG18" s="1">
        <v>0</v>
      </c>
      <c r="AH18" s="1">
        <v>0</v>
      </c>
    </row>
    <row r="19" spans="1:34">
      <c r="A19" s="1">
        <v>17</v>
      </c>
      <c r="B19" s="1" t="s">
        <v>104</v>
      </c>
      <c r="C19" s="1">
        <f>SUM(D19:AH19)</f>
        <v>0</v>
      </c>
      <c r="D19" s="1">
        <v>0</v>
      </c>
      <c r="E19" s="1">
        <v>0</v>
      </c>
      <c r="F19" s="1">
        <v>0</v>
      </c>
      <c r="G19" s="1">
        <v>0</v>
      </c>
      <c r="H19" s="2"/>
      <c r="I19" s="2"/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2"/>
      <c r="P19" s="2"/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2"/>
      <c r="W19" s="2"/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2"/>
      <c r="AD19" s="2"/>
      <c r="AE19" s="1">
        <v>0</v>
      </c>
      <c r="AF19" s="1">
        <v>0</v>
      </c>
      <c r="AG19" s="1">
        <v>0</v>
      </c>
      <c r="AH19" s="1">
        <v>0</v>
      </c>
    </row>
    <row r="20" spans="1:34">
      <c r="B20" s="33" t="s">
        <v>134</v>
      </c>
      <c r="C20" s="1">
        <f>SUM(D20:AH20)</f>
        <v>32</v>
      </c>
      <c r="G20" s="1">
        <v>16</v>
      </c>
      <c r="H20" s="2"/>
      <c r="I20" s="2"/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2"/>
      <c r="P20" s="2"/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/>
      <c r="W20" s="2"/>
      <c r="X20" s="1">
        <v>16</v>
      </c>
      <c r="Y20" s="1">
        <v>0</v>
      </c>
      <c r="Z20" s="1">
        <v>0</v>
      </c>
      <c r="AA20" s="1">
        <v>0</v>
      </c>
      <c r="AB20" s="1">
        <v>0</v>
      </c>
      <c r="AC20" s="2"/>
      <c r="AD20" s="2"/>
      <c r="AE20" s="1">
        <v>0</v>
      </c>
      <c r="AF20" s="1">
        <v>0</v>
      </c>
      <c r="AG20" s="1">
        <v>0</v>
      </c>
      <c r="AH20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8">
    <cfRule type="duplicateValues" dxfId="28" priority="3"/>
  </conditionalFormatting>
  <conditionalFormatting sqref="B19">
    <cfRule type="duplicateValues" dxfId="27" priority="2"/>
  </conditionalFormatting>
  <conditionalFormatting sqref="B20">
    <cfRule type="duplicateValues" dxfId="26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AH20"/>
  <sheetViews>
    <sheetView workbookViewId="0">
      <selection activeCell="AK6" sqref="AK6"/>
    </sheetView>
  </sheetViews>
  <sheetFormatPr baseColWidth="10" defaultColWidth="8.83203125" defaultRowHeight="15"/>
  <cols>
    <col min="3" max="3" width="15.33203125" bestFit="1" customWidth="1"/>
    <col min="4" max="17" width="8.83203125" hidden="1" customWidth="1"/>
    <col min="18" max="18" width="7.83203125" hidden="1" customWidth="1"/>
    <col min="19" max="33" width="8.83203125" hidden="1" customWidth="1"/>
    <col min="34" max="34" width="8.83203125" customWidth="1"/>
    <col min="35" max="35" width="0" hidden="1" customWidth="1"/>
  </cols>
  <sheetData>
    <row r="1" spans="1:34" ht="27">
      <c r="A1" s="73" t="s">
        <v>19</v>
      </c>
      <c r="B1" s="73"/>
      <c r="C1" s="64" t="s">
        <v>58</v>
      </c>
      <c r="D1" s="68">
        <v>45474</v>
      </c>
      <c r="E1" s="68">
        <v>45475</v>
      </c>
      <c r="F1" s="68">
        <v>45476</v>
      </c>
      <c r="G1" s="68">
        <v>45477</v>
      </c>
      <c r="H1" s="68">
        <v>45478</v>
      </c>
      <c r="I1" s="68">
        <v>45479</v>
      </c>
      <c r="J1" s="68">
        <v>45480</v>
      </c>
      <c r="K1" s="68">
        <v>45481</v>
      </c>
      <c r="L1" s="68">
        <v>45482</v>
      </c>
      <c r="M1" s="68">
        <v>45483</v>
      </c>
      <c r="N1" s="68">
        <v>45484</v>
      </c>
      <c r="O1" s="68">
        <v>45485</v>
      </c>
      <c r="P1" s="68">
        <v>45486</v>
      </c>
      <c r="Q1" s="68">
        <v>45487</v>
      </c>
      <c r="R1" s="68">
        <v>45488</v>
      </c>
      <c r="S1" s="68">
        <v>45489</v>
      </c>
      <c r="T1" s="68">
        <v>45490</v>
      </c>
      <c r="U1" s="68">
        <v>45491</v>
      </c>
      <c r="V1" s="68">
        <v>45492</v>
      </c>
      <c r="W1" s="68">
        <v>45493</v>
      </c>
      <c r="X1" s="68">
        <v>45494</v>
      </c>
      <c r="Y1" s="68">
        <v>45495</v>
      </c>
      <c r="Z1" s="68">
        <v>45496</v>
      </c>
      <c r="AA1" s="68">
        <v>45497</v>
      </c>
      <c r="AB1" s="68">
        <v>45498</v>
      </c>
      <c r="AC1" s="68">
        <v>45499</v>
      </c>
      <c r="AD1" s="68">
        <v>45500</v>
      </c>
      <c r="AE1" s="68">
        <v>45501</v>
      </c>
      <c r="AF1" s="68">
        <v>45502</v>
      </c>
      <c r="AG1" s="68">
        <v>45503</v>
      </c>
      <c r="AH1" s="68">
        <v>45504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2"/>
      <c r="I3" s="2"/>
      <c r="J3" s="1">
        <v>0</v>
      </c>
      <c r="K3" s="1">
        <v>0</v>
      </c>
      <c r="L3" s="1">
        <v>0</v>
      </c>
      <c r="M3" s="1">
        <v>0</v>
      </c>
      <c r="N3" s="1">
        <v>0</v>
      </c>
      <c r="O3" s="2"/>
      <c r="P3" s="2"/>
      <c r="Q3" s="1">
        <v>0</v>
      </c>
      <c r="R3" s="1">
        <v>0</v>
      </c>
      <c r="S3" s="1">
        <v>0</v>
      </c>
      <c r="T3" s="1">
        <v>0</v>
      </c>
      <c r="U3" s="1">
        <v>0</v>
      </c>
      <c r="V3" s="2"/>
      <c r="W3" s="2"/>
      <c r="X3" s="1">
        <v>0</v>
      </c>
      <c r="Y3" s="1">
        <v>0</v>
      </c>
      <c r="Z3" s="1">
        <v>0</v>
      </c>
      <c r="AA3" s="1">
        <v>0</v>
      </c>
      <c r="AB3" s="1">
        <v>0</v>
      </c>
      <c r="AC3" s="2"/>
      <c r="AD3" s="2"/>
      <c r="AE3" s="1">
        <v>0</v>
      </c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8" si="0">SUM(D4:AH4)</f>
        <v>3</v>
      </c>
      <c r="D4" s="1">
        <v>0</v>
      </c>
      <c r="E4" s="1">
        <v>0</v>
      </c>
      <c r="F4" s="1">
        <v>0</v>
      </c>
      <c r="G4" s="1">
        <v>0</v>
      </c>
      <c r="H4" s="2"/>
      <c r="I4" s="2"/>
      <c r="J4" s="1">
        <v>0</v>
      </c>
      <c r="K4" s="1">
        <v>0</v>
      </c>
      <c r="L4" s="1">
        <v>0</v>
      </c>
      <c r="M4" s="1">
        <v>0</v>
      </c>
      <c r="N4" s="1">
        <v>0</v>
      </c>
      <c r="O4" s="2"/>
      <c r="P4" s="2"/>
      <c r="Q4" s="1">
        <v>0</v>
      </c>
      <c r="R4" s="1">
        <v>0</v>
      </c>
      <c r="S4" s="1">
        <v>0</v>
      </c>
      <c r="T4" s="1">
        <v>0</v>
      </c>
      <c r="U4" s="1">
        <v>0</v>
      </c>
      <c r="V4" s="2"/>
      <c r="W4" s="2"/>
      <c r="X4" s="1">
        <v>0</v>
      </c>
      <c r="Y4" s="1">
        <v>0</v>
      </c>
      <c r="Z4" s="1">
        <v>0</v>
      </c>
      <c r="AA4" s="1">
        <v>0</v>
      </c>
      <c r="AB4" s="1">
        <v>0</v>
      </c>
      <c r="AC4" s="2"/>
      <c r="AD4" s="2"/>
      <c r="AE4" s="1">
        <v>0</v>
      </c>
      <c r="AF4" s="1">
        <v>0</v>
      </c>
      <c r="AG4" s="1">
        <v>0</v>
      </c>
      <c r="AH4" s="1">
        <v>3</v>
      </c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1">
        <v>0</v>
      </c>
      <c r="F5" s="1">
        <v>0</v>
      </c>
      <c r="G5" s="1">
        <v>0</v>
      </c>
      <c r="H5" s="2"/>
      <c r="I5" s="2"/>
      <c r="J5" s="1">
        <v>0</v>
      </c>
      <c r="K5" s="1">
        <v>0</v>
      </c>
      <c r="L5" s="1">
        <v>0</v>
      </c>
      <c r="M5" s="1">
        <v>0</v>
      </c>
      <c r="N5" s="1">
        <v>0</v>
      </c>
      <c r="O5" s="2"/>
      <c r="P5" s="2"/>
      <c r="Q5" s="1">
        <v>0</v>
      </c>
      <c r="R5" s="1">
        <v>0</v>
      </c>
      <c r="S5" s="1">
        <v>0</v>
      </c>
      <c r="T5" s="1">
        <v>0</v>
      </c>
      <c r="U5" s="1">
        <v>0</v>
      </c>
      <c r="V5" s="2"/>
      <c r="W5" s="2"/>
      <c r="X5" s="1">
        <v>0</v>
      </c>
      <c r="Y5" s="1">
        <v>0</v>
      </c>
      <c r="Z5" s="1">
        <v>0</v>
      </c>
      <c r="AA5" s="1">
        <v>0</v>
      </c>
      <c r="AB5" s="1">
        <v>0</v>
      </c>
      <c r="AC5" s="2"/>
      <c r="AD5" s="2"/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6</v>
      </c>
      <c r="D6" s="1">
        <v>0</v>
      </c>
      <c r="E6" s="1">
        <v>2</v>
      </c>
      <c r="F6" s="1">
        <v>0</v>
      </c>
      <c r="G6" s="1">
        <v>0</v>
      </c>
      <c r="H6" s="2"/>
      <c r="I6" s="2"/>
      <c r="J6" s="1">
        <v>0</v>
      </c>
      <c r="K6" s="1">
        <v>0</v>
      </c>
      <c r="L6" s="1">
        <v>1</v>
      </c>
      <c r="M6" s="1">
        <v>0</v>
      </c>
      <c r="N6" s="1">
        <v>0</v>
      </c>
      <c r="O6" s="2"/>
      <c r="P6" s="2"/>
      <c r="Q6" s="1">
        <v>0</v>
      </c>
      <c r="R6" s="1">
        <v>0</v>
      </c>
      <c r="S6" s="1">
        <v>0</v>
      </c>
      <c r="T6" s="1">
        <v>0</v>
      </c>
      <c r="U6" s="1">
        <v>0</v>
      </c>
      <c r="V6" s="2"/>
      <c r="W6" s="2"/>
      <c r="X6" s="1">
        <v>0</v>
      </c>
      <c r="Y6" s="1">
        <v>1</v>
      </c>
      <c r="Z6" s="1">
        <v>1</v>
      </c>
      <c r="AA6" s="1">
        <v>1</v>
      </c>
      <c r="AB6" s="1">
        <v>0</v>
      </c>
      <c r="AC6" s="2"/>
      <c r="AD6" s="2"/>
      <c r="AE6" s="1">
        <v>0</v>
      </c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1">
        <v>0</v>
      </c>
      <c r="F7" s="1">
        <v>0</v>
      </c>
      <c r="G7" s="1">
        <v>0</v>
      </c>
      <c r="H7" s="2"/>
      <c r="I7" s="2"/>
      <c r="J7" s="1">
        <v>0</v>
      </c>
      <c r="K7" s="1">
        <v>0</v>
      </c>
      <c r="L7" s="1">
        <v>0</v>
      </c>
      <c r="M7" s="1">
        <v>0</v>
      </c>
      <c r="N7" s="1">
        <v>0</v>
      </c>
      <c r="O7" s="2"/>
      <c r="P7" s="2"/>
      <c r="Q7" s="1">
        <v>0</v>
      </c>
      <c r="R7" s="1">
        <v>0</v>
      </c>
      <c r="S7" s="1">
        <v>0</v>
      </c>
      <c r="T7" s="1">
        <v>0</v>
      </c>
      <c r="U7" s="1">
        <v>0</v>
      </c>
      <c r="V7" s="2"/>
      <c r="W7" s="2"/>
      <c r="X7" s="1">
        <v>0</v>
      </c>
      <c r="Y7" s="1">
        <v>0</v>
      </c>
      <c r="Z7" s="1">
        <v>0</v>
      </c>
      <c r="AA7" s="1">
        <v>0</v>
      </c>
      <c r="AB7" s="1">
        <v>0</v>
      </c>
      <c r="AC7" s="2"/>
      <c r="AD7" s="2"/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7</v>
      </c>
      <c r="D8" s="1">
        <v>0</v>
      </c>
      <c r="E8" s="1">
        <v>0</v>
      </c>
      <c r="F8" s="1">
        <v>0</v>
      </c>
      <c r="G8" s="1">
        <v>0</v>
      </c>
      <c r="H8" s="2"/>
      <c r="I8" s="2"/>
      <c r="J8" s="1">
        <v>0</v>
      </c>
      <c r="K8" s="1">
        <v>1</v>
      </c>
      <c r="L8" s="1">
        <v>1</v>
      </c>
      <c r="M8" s="1">
        <v>0</v>
      </c>
      <c r="N8" s="1">
        <v>0</v>
      </c>
      <c r="O8" s="2"/>
      <c r="P8" s="2"/>
      <c r="Q8" s="1">
        <v>1</v>
      </c>
      <c r="R8" s="1">
        <v>1</v>
      </c>
      <c r="S8" s="1">
        <v>0</v>
      </c>
      <c r="T8" s="1">
        <v>0</v>
      </c>
      <c r="U8" s="1">
        <v>0</v>
      </c>
      <c r="V8" s="2"/>
      <c r="W8" s="2"/>
      <c r="X8" s="1">
        <v>0</v>
      </c>
      <c r="Y8" s="1">
        <v>0</v>
      </c>
      <c r="Z8" s="1">
        <v>1</v>
      </c>
      <c r="AA8" s="1">
        <v>0</v>
      </c>
      <c r="AB8" s="1">
        <v>0</v>
      </c>
      <c r="AC8" s="2"/>
      <c r="AD8" s="2"/>
      <c r="AE8" s="1">
        <v>1</v>
      </c>
      <c r="AF8" s="1">
        <v>1</v>
      </c>
      <c r="AG8" s="1">
        <v>0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19</v>
      </c>
      <c r="D9" s="1">
        <v>0</v>
      </c>
      <c r="E9" s="1">
        <v>0</v>
      </c>
      <c r="F9" s="1">
        <v>0</v>
      </c>
      <c r="G9" s="1">
        <v>0</v>
      </c>
      <c r="H9" s="2"/>
      <c r="I9" s="2"/>
      <c r="J9" s="1">
        <v>0</v>
      </c>
      <c r="K9" s="1">
        <v>0</v>
      </c>
      <c r="L9" s="1">
        <v>0</v>
      </c>
      <c r="M9" s="1">
        <v>0</v>
      </c>
      <c r="N9" s="1">
        <v>0</v>
      </c>
      <c r="O9" s="2"/>
      <c r="P9" s="2"/>
      <c r="Q9" s="1">
        <v>0</v>
      </c>
      <c r="R9" s="1">
        <v>0</v>
      </c>
      <c r="S9" s="1">
        <v>3</v>
      </c>
      <c r="T9" s="1">
        <v>0</v>
      </c>
      <c r="U9" s="1">
        <v>0</v>
      </c>
      <c r="V9" s="2"/>
      <c r="W9" s="2"/>
      <c r="X9" s="1">
        <v>3</v>
      </c>
      <c r="Y9" s="1">
        <v>3</v>
      </c>
      <c r="Z9" s="1">
        <v>0</v>
      </c>
      <c r="AA9" s="1">
        <v>3</v>
      </c>
      <c r="AB9" s="1">
        <v>0</v>
      </c>
      <c r="AC9" s="2"/>
      <c r="AD9" s="2"/>
      <c r="AE9" s="1">
        <v>1</v>
      </c>
      <c r="AF9" s="1">
        <v>3</v>
      </c>
      <c r="AG9" s="1">
        <v>0</v>
      </c>
      <c r="AH9" s="1">
        <v>3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2"/>
      <c r="I10" s="2"/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2"/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/>
      <c r="W10" s="2"/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2"/>
      <c r="AD10" s="2"/>
      <c r="AE10" s="1">
        <v>0</v>
      </c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33</v>
      </c>
      <c r="D11" s="1">
        <v>0</v>
      </c>
      <c r="E11" s="1">
        <v>1</v>
      </c>
      <c r="F11" s="1">
        <v>2</v>
      </c>
      <c r="G11" s="1">
        <v>0</v>
      </c>
      <c r="H11" s="2"/>
      <c r="I11" s="2"/>
      <c r="J11" s="1">
        <v>1</v>
      </c>
      <c r="K11" s="1">
        <v>1</v>
      </c>
      <c r="L11" s="1">
        <v>1</v>
      </c>
      <c r="M11" s="1">
        <v>0</v>
      </c>
      <c r="N11" s="1">
        <v>1</v>
      </c>
      <c r="O11" s="2"/>
      <c r="P11" s="2"/>
      <c r="Q11" s="1">
        <v>1</v>
      </c>
      <c r="R11" s="1">
        <v>1</v>
      </c>
      <c r="S11" s="1">
        <v>2</v>
      </c>
      <c r="T11" s="1">
        <v>3</v>
      </c>
      <c r="U11" s="1">
        <v>0</v>
      </c>
      <c r="V11" s="2"/>
      <c r="W11" s="2"/>
      <c r="X11" s="1">
        <v>3</v>
      </c>
      <c r="Y11" s="1">
        <v>1</v>
      </c>
      <c r="Z11" s="1">
        <v>2</v>
      </c>
      <c r="AA11" s="1">
        <v>3</v>
      </c>
      <c r="AB11" s="1">
        <v>1</v>
      </c>
      <c r="AC11" s="2"/>
      <c r="AD11" s="2"/>
      <c r="AE11" s="1">
        <v>3</v>
      </c>
      <c r="AF11" s="1">
        <v>3</v>
      </c>
      <c r="AG11" s="1">
        <v>1</v>
      </c>
      <c r="AH11" s="1">
        <v>2</v>
      </c>
    </row>
    <row r="12" spans="1:34">
      <c r="A12" s="1">
        <v>10</v>
      </c>
      <c r="B12" s="1" t="s">
        <v>12</v>
      </c>
      <c r="C12" s="1">
        <f t="shared" si="0"/>
        <v>13</v>
      </c>
      <c r="D12" s="1">
        <v>0</v>
      </c>
      <c r="E12" s="1">
        <v>0</v>
      </c>
      <c r="F12" s="1">
        <v>0</v>
      </c>
      <c r="G12" s="1">
        <v>0</v>
      </c>
      <c r="H12" s="2"/>
      <c r="I12" s="2"/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2"/>
      <c r="P12" s="2"/>
      <c r="Q12" s="1">
        <v>1</v>
      </c>
      <c r="R12" s="1">
        <v>1</v>
      </c>
      <c r="S12" s="1">
        <v>1</v>
      </c>
      <c r="T12" s="1">
        <v>1</v>
      </c>
      <c r="U12" s="1">
        <v>0</v>
      </c>
      <c r="V12" s="2"/>
      <c r="W12" s="2"/>
      <c r="X12" s="1">
        <v>1</v>
      </c>
      <c r="Y12" s="1">
        <v>1</v>
      </c>
      <c r="Z12" s="1">
        <v>0</v>
      </c>
      <c r="AA12" s="1">
        <v>1</v>
      </c>
      <c r="AB12" s="1">
        <v>1</v>
      </c>
      <c r="AC12" s="2"/>
      <c r="AD12" s="2"/>
      <c r="AE12" s="1">
        <v>2</v>
      </c>
      <c r="AF12" s="1">
        <v>1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5</v>
      </c>
      <c r="D13" s="1">
        <v>0</v>
      </c>
      <c r="E13" s="1">
        <v>0</v>
      </c>
      <c r="F13" s="1">
        <v>0</v>
      </c>
      <c r="G13" s="1">
        <v>0</v>
      </c>
      <c r="H13" s="2"/>
      <c r="I13" s="2"/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2"/>
      <c r="P13" s="2"/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2"/>
      <c r="W13" s="2"/>
      <c r="X13" s="1">
        <v>0</v>
      </c>
      <c r="Y13" s="1">
        <v>0</v>
      </c>
      <c r="Z13" s="1">
        <v>1</v>
      </c>
      <c r="AA13" s="1">
        <v>1</v>
      </c>
      <c r="AB13" s="1">
        <v>1</v>
      </c>
      <c r="AC13" s="2"/>
      <c r="AD13" s="2"/>
      <c r="AE13" s="1">
        <v>0</v>
      </c>
      <c r="AF13" s="1">
        <v>0</v>
      </c>
      <c r="AG13" s="1">
        <v>1</v>
      </c>
      <c r="AH13" s="1">
        <v>1</v>
      </c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">
        <v>0</v>
      </c>
      <c r="F14" s="1">
        <v>0</v>
      </c>
      <c r="G14" s="1">
        <v>0</v>
      </c>
      <c r="H14" s="2"/>
      <c r="I14" s="2"/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2"/>
      <c r="P14" s="2"/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/>
      <c r="W14" s="2"/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2"/>
      <c r="AD14" s="2"/>
      <c r="AE14" s="1">
        <v>0</v>
      </c>
      <c r="AF14" s="1">
        <v>0</v>
      </c>
      <c r="AG14" s="1">
        <v>0</v>
      </c>
      <c r="AH14" s="1">
        <v>0</v>
      </c>
    </row>
    <row r="15" spans="1:34">
      <c r="A15" s="1">
        <v>13</v>
      </c>
      <c r="B15" s="1" t="s">
        <v>16</v>
      </c>
      <c r="C15" s="1">
        <f t="shared" si="0"/>
        <v>7</v>
      </c>
      <c r="D15" s="1">
        <v>0</v>
      </c>
      <c r="E15" s="1">
        <v>0</v>
      </c>
      <c r="F15" s="1">
        <v>0</v>
      </c>
      <c r="G15" s="1">
        <v>0</v>
      </c>
      <c r="H15" s="2"/>
      <c r="I15" s="2"/>
      <c r="J15" s="1">
        <v>0</v>
      </c>
      <c r="K15" s="1">
        <v>2</v>
      </c>
      <c r="L15" s="1">
        <v>2</v>
      </c>
      <c r="M15" s="1">
        <v>0</v>
      </c>
      <c r="N15" s="1">
        <v>0</v>
      </c>
      <c r="O15" s="2"/>
      <c r="P15" s="2"/>
      <c r="Q15" s="1">
        <v>0</v>
      </c>
      <c r="R15" s="1">
        <v>1</v>
      </c>
      <c r="S15" s="1">
        <v>0</v>
      </c>
      <c r="T15" s="1">
        <v>1</v>
      </c>
      <c r="U15" s="1">
        <v>0</v>
      </c>
      <c r="V15" s="2"/>
      <c r="W15" s="2"/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2"/>
      <c r="AD15" s="2"/>
      <c r="AE15" s="1">
        <v>0</v>
      </c>
      <c r="AF15" s="1">
        <v>0</v>
      </c>
      <c r="AG15" s="1">
        <v>0</v>
      </c>
      <c r="AH15" s="1">
        <v>0</v>
      </c>
    </row>
    <row r="16" spans="1:34">
      <c r="A16" s="1">
        <v>14</v>
      </c>
      <c r="B16" s="1" t="s">
        <v>60</v>
      </c>
      <c r="C16" s="1">
        <f t="shared" si="0"/>
        <v>0</v>
      </c>
      <c r="D16" s="1">
        <v>0</v>
      </c>
      <c r="E16" s="1">
        <v>0</v>
      </c>
      <c r="F16" s="1">
        <v>0</v>
      </c>
      <c r="G16" s="1">
        <v>0</v>
      </c>
      <c r="H16" s="2"/>
      <c r="I16" s="2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2"/>
      <c r="P16" s="2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/>
      <c r="W16" s="2"/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2"/>
      <c r="AD16" s="2"/>
      <c r="AE16" s="1">
        <v>0</v>
      </c>
      <c r="AF16" s="1">
        <v>0</v>
      </c>
      <c r="AG16" s="1">
        <v>0</v>
      </c>
      <c r="AH16" s="1">
        <v>0</v>
      </c>
    </row>
    <row r="17" spans="1:34">
      <c r="A17" s="1">
        <v>15</v>
      </c>
      <c r="B17" s="1" t="s">
        <v>66</v>
      </c>
      <c r="C17" s="1">
        <f t="shared" si="0"/>
        <v>14</v>
      </c>
      <c r="D17" s="1">
        <v>0</v>
      </c>
      <c r="E17" s="1">
        <v>0</v>
      </c>
      <c r="F17" s="1">
        <v>0</v>
      </c>
      <c r="G17" s="1">
        <v>0</v>
      </c>
      <c r="H17" s="2"/>
      <c r="I17" s="2"/>
      <c r="J17" s="1">
        <v>0</v>
      </c>
      <c r="K17" s="1">
        <v>0</v>
      </c>
      <c r="L17" s="1">
        <v>2</v>
      </c>
      <c r="M17" s="1">
        <v>3</v>
      </c>
      <c r="N17" s="1">
        <v>3</v>
      </c>
      <c r="O17" s="2"/>
      <c r="P17" s="2"/>
      <c r="Q17" s="1">
        <v>0</v>
      </c>
      <c r="R17" s="1">
        <v>2</v>
      </c>
      <c r="S17" s="1">
        <v>0</v>
      </c>
      <c r="T17" s="1">
        <v>0</v>
      </c>
      <c r="U17" s="1">
        <v>4</v>
      </c>
      <c r="V17" s="2"/>
      <c r="W17" s="2"/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/>
      <c r="AD17" s="2"/>
      <c r="AE17" s="1">
        <v>0</v>
      </c>
      <c r="AF17" s="1">
        <v>0</v>
      </c>
      <c r="AG17" s="1">
        <v>0</v>
      </c>
      <c r="AH17" s="1">
        <v>0</v>
      </c>
    </row>
    <row r="18" spans="1:34">
      <c r="A18" s="1">
        <v>16</v>
      </c>
      <c r="B18" s="1" t="s">
        <v>87</v>
      </c>
      <c r="C18" s="1">
        <f t="shared" si="0"/>
        <v>0</v>
      </c>
      <c r="D18" s="1">
        <v>0</v>
      </c>
      <c r="E18" s="1">
        <v>0</v>
      </c>
      <c r="F18" s="1">
        <v>0</v>
      </c>
      <c r="G18" s="1">
        <v>0</v>
      </c>
      <c r="H18" s="2"/>
      <c r="I18" s="2"/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2"/>
      <c r="P18" s="2"/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2"/>
      <c r="W18" s="2"/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/>
      <c r="AD18" s="2"/>
      <c r="AE18" s="1">
        <v>0</v>
      </c>
      <c r="AF18" s="1">
        <v>0</v>
      </c>
      <c r="AG18" s="1">
        <v>0</v>
      </c>
      <c r="AH18" s="1">
        <v>0</v>
      </c>
    </row>
    <row r="19" spans="1:34">
      <c r="A19" s="1">
        <v>17</v>
      </c>
      <c r="B19" s="1" t="s">
        <v>104</v>
      </c>
      <c r="C19" s="1">
        <f>SUM(D19:AH19)</f>
        <v>14</v>
      </c>
      <c r="D19" s="1">
        <v>0</v>
      </c>
      <c r="E19" s="1">
        <v>0</v>
      </c>
      <c r="F19" s="1">
        <v>0</v>
      </c>
      <c r="G19" s="1">
        <v>0</v>
      </c>
      <c r="H19" s="2"/>
      <c r="I19" s="2"/>
      <c r="J19" s="1">
        <v>0</v>
      </c>
      <c r="K19" s="1">
        <v>0</v>
      </c>
      <c r="L19" s="1">
        <v>2</v>
      </c>
      <c r="M19" s="1">
        <v>3</v>
      </c>
      <c r="N19" s="1">
        <v>3</v>
      </c>
      <c r="O19" s="2"/>
      <c r="P19" s="2"/>
      <c r="Q19" s="1">
        <v>0</v>
      </c>
      <c r="R19" s="1">
        <v>2</v>
      </c>
      <c r="S19" s="1">
        <v>0</v>
      </c>
      <c r="T19" s="1">
        <v>0</v>
      </c>
      <c r="U19" s="1">
        <v>4</v>
      </c>
      <c r="V19" s="2"/>
      <c r="W19" s="2"/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2"/>
      <c r="AD19" s="2"/>
      <c r="AE19" s="1">
        <v>0</v>
      </c>
      <c r="AF19" s="1">
        <v>0</v>
      </c>
      <c r="AG19" s="1">
        <v>0</v>
      </c>
      <c r="AH19" s="1">
        <v>0</v>
      </c>
    </row>
    <row r="20" spans="1:34">
      <c r="B20" s="33" t="s">
        <v>134</v>
      </c>
      <c r="C20" s="1">
        <f>SUM(D20:AH20)</f>
        <v>0</v>
      </c>
      <c r="D20" s="1">
        <v>0</v>
      </c>
      <c r="E20" s="1">
        <v>0</v>
      </c>
      <c r="F20" s="1">
        <v>0</v>
      </c>
      <c r="G20" s="1">
        <v>0</v>
      </c>
      <c r="H20" s="2"/>
      <c r="I20" s="2"/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2"/>
      <c r="P20" s="2"/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/>
      <c r="W20" s="2"/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2"/>
      <c r="AD20" s="2"/>
      <c r="AE20" s="1">
        <v>0</v>
      </c>
      <c r="AF20" s="1">
        <v>0</v>
      </c>
      <c r="AG20" s="1">
        <v>0</v>
      </c>
      <c r="AH20" s="1">
        <v>0</v>
      </c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16">
    <cfRule type="duplicateValues" dxfId="25" priority="3"/>
  </conditionalFormatting>
  <conditionalFormatting sqref="B19">
    <cfRule type="duplicateValues" dxfId="24" priority="2"/>
  </conditionalFormatting>
  <conditionalFormatting sqref="B20">
    <cfRule type="duplicateValues" dxfId="23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31"/>
  <sheetViews>
    <sheetView zoomScaleNormal="100" workbookViewId="0">
      <selection activeCell="AE3" sqref="AE3:AE20"/>
    </sheetView>
  </sheetViews>
  <sheetFormatPr baseColWidth="10" defaultColWidth="8.83203125" defaultRowHeight="15"/>
  <cols>
    <col min="3" max="30" width="8.83203125" hidden="1" customWidth="1"/>
    <col min="31" max="33" width="8.83203125" customWidth="1"/>
  </cols>
  <sheetData>
    <row r="1" spans="1:33" ht="27">
      <c r="A1" s="70" t="s">
        <v>0</v>
      </c>
      <c r="B1" s="70"/>
      <c r="C1" s="68">
        <v>45505</v>
      </c>
      <c r="D1" s="68">
        <v>45506</v>
      </c>
      <c r="E1" s="68">
        <v>45507</v>
      </c>
      <c r="F1" s="68">
        <v>45508</v>
      </c>
      <c r="G1" s="68">
        <v>45509</v>
      </c>
      <c r="H1" s="68">
        <v>45510</v>
      </c>
      <c r="I1" s="68">
        <v>45511</v>
      </c>
      <c r="J1" s="68">
        <v>45512</v>
      </c>
      <c r="K1" s="68">
        <v>45513</v>
      </c>
      <c r="L1" s="68">
        <v>45514</v>
      </c>
      <c r="M1" s="68">
        <v>45515</v>
      </c>
      <c r="N1" s="68">
        <v>45516</v>
      </c>
      <c r="O1" s="68">
        <v>45517</v>
      </c>
      <c r="P1" s="68">
        <v>45518</v>
      </c>
      <c r="Q1" s="68">
        <v>45519</v>
      </c>
      <c r="R1" s="68">
        <v>45520</v>
      </c>
      <c r="S1" s="68">
        <v>45521</v>
      </c>
      <c r="T1" s="68">
        <v>45522</v>
      </c>
      <c r="U1" s="68">
        <v>45523</v>
      </c>
      <c r="V1" s="68">
        <v>45524</v>
      </c>
      <c r="W1" s="68">
        <v>45525</v>
      </c>
      <c r="X1" s="68">
        <v>45526</v>
      </c>
      <c r="Y1" s="68">
        <v>45527</v>
      </c>
      <c r="Z1" s="68">
        <v>45528</v>
      </c>
      <c r="AA1" s="68">
        <v>45529</v>
      </c>
      <c r="AB1" s="68">
        <v>45530</v>
      </c>
      <c r="AC1" s="68">
        <v>45531</v>
      </c>
      <c r="AD1" s="68">
        <v>45532</v>
      </c>
      <c r="AE1" s="68">
        <v>45533</v>
      </c>
      <c r="AF1" s="68">
        <v>45534</v>
      </c>
      <c r="AG1" s="68">
        <v>45535</v>
      </c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18">
      <c r="A3" s="1">
        <v>1</v>
      </c>
      <c r="B3" s="1" t="s">
        <v>3</v>
      </c>
      <c r="C3" s="16" t="s">
        <v>25</v>
      </c>
      <c r="D3" s="2"/>
      <c r="E3" s="2"/>
      <c r="F3" s="16" t="s">
        <v>25</v>
      </c>
      <c r="G3" s="16" t="s">
        <v>25</v>
      </c>
      <c r="H3" s="16" t="s">
        <v>25</v>
      </c>
      <c r="I3" s="4" t="s">
        <v>50</v>
      </c>
      <c r="J3" s="1" t="s">
        <v>30</v>
      </c>
      <c r="K3" s="2"/>
      <c r="L3" s="2"/>
      <c r="M3" s="16" t="s">
        <v>25</v>
      </c>
      <c r="N3" s="16" t="s">
        <v>25</v>
      </c>
      <c r="O3" s="16" t="s">
        <v>25</v>
      </c>
      <c r="P3" s="16" t="s">
        <v>50</v>
      </c>
      <c r="Q3" s="17" t="s">
        <v>92</v>
      </c>
      <c r="R3" s="2"/>
      <c r="S3" s="2"/>
      <c r="T3" s="17" t="s">
        <v>92</v>
      </c>
      <c r="U3" s="17" t="s">
        <v>92</v>
      </c>
      <c r="V3" s="17" t="s">
        <v>92</v>
      </c>
      <c r="W3" s="17" t="s">
        <v>92</v>
      </c>
      <c r="X3" s="17" t="s">
        <v>92</v>
      </c>
      <c r="Y3" s="2"/>
      <c r="Z3" s="2"/>
      <c r="AA3" s="17" t="s">
        <v>92</v>
      </c>
      <c r="AB3" s="17" t="s">
        <v>92</v>
      </c>
      <c r="AC3" s="17" t="s">
        <v>92</v>
      </c>
      <c r="AD3" s="17" t="s">
        <v>92</v>
      </c>
      <c r="AE3" s="17" t="s">
        <v>92</v>
      </c>
      <c r="AF3" s="2"/>
      <c r="AG3" s="2"/>
    </row>
    <row r="4" spans="1:33" ht="18">
      <c r="A4" s="1">
        <v>2</v>
      </c>
      <c r="B4" s="1" t="s">
        <v>4</v>
      </c>
      <c r="C4" s="16" t="s">
        <v>25</v>
      </c>
      <c r="D4" s="2"/>
      <c r="E4" s="2"/>
      <c r="F4" s="16" t="s">
        <v>25</v>
      </c>
      <c r="G4" s="16" t="s">
        <v>25</v>
      </c>
      <c r="H4" s="16" t="s">
        <v>25</v>
      </c>
      <c r="I4" s="16" t="s">
        <v>25</v>
      </c>
      <c r="J4" s="16" t="s">
        <v>25</v>
      </c>
      <c r="K4" s="2"/>
      <c r="L4" s="2"/>
      <c r="M4" s="16" t="s">
        <v>25</v>
      </c>
      <c r="N4" s="16" t="s">
        <v>25</v>
      </c>
      <c r="O4" s="1" t="s">
        <v>62</v>
      </c>
      <c r="P4" s="16" t="s">
        <v>25</v>
      </c>
      <c r="Q4" s="16" t="s">
        <v>25</v>
      </c>
      <c r="R4" s="2"/>
      <c r="S4" s="2"/>
      <c r="T4" s="16" t="s">
        <v>25</v>
      </c>
      <c r="U4" s="16" t="s">
        <v>25</v>
      </c>
      <c r="V4" s="16" t="s">
        <v>25</v>
      </c>
      <c r="W4" s="16" t="s">
        <v>25</v>
      </c>
      <c r="X4" s="16" t="s">
        <v>25</v>
      </c>
      <c r="Y4" s="2"/>
      <c r="Z4" s="2"/>
      <c r="AA4" s="16" t="s">
        <v>25</v>
      </c>
      <c r="AB4" s="7" t="s">
        <v>30</v>
      </c>
      <c r="AC4" s="16" t="s">
        <v>25</v>
      </c>
      <c r="AD4" s="16" t="s">
        <v>25</v>
      </c>
      <c r="AE4" s="16" t="s">
        <v>50</v>
      </c>
      <c r="AF4" s="2"/>
      <c r="AG4" s="2"/>
    </row>
    <row r="5" spans="1:33" ht="18">
      <c r="A5" s="1">
        <v>3</v>
      </c>
      <c r="B5" s="1" t="s">
        <v>5</v>
      </c>
      <c r="C5" s="16" t="s">
        <v>25</v>
      </c>
      <c r="D5" s="2"/>
      <c r="E5" s="2"/>
      <c r="F5" s="16" t="s">
        <v>25</v>
      </c>
      <c r="G5" s="16" t="s">
        <v>25</v>
      </c>
      <c r="H5" s="16" t="s">
        <v>25</v>
      </c>
      <c r="I5" s="16" t="s">
        <v>25</v>
      </c>
      <c r="J5" s="16" t="s">
        <v>25</v>
      </c>
      <c r="K5" s="2"/>
      <c r="L5" s="2"/>
      <c r="M5" s="16" t="s">
        <v>25</v>
      </c>
      <c r="N5" s="16" t="s">
        <v>25</v>
      </c>
      <c r="O5" s="16" t="s">
        <v>25</v>
      </c>
      <c r="P5" s="16" t="s">
        <v>25</v>
      </c>
      <c r="Q5" s="16" t="s">
        <v>25</v>
      </c>
      <c r="R5" s="2"/>
      <c r="S5" s="2"/>
      <c r="T5" s="16" t="s">
        <v>25</v>
      </c>
      <c r="U5" s="16" t="s">
        <v>25</v>
      </c>
      <c r="V5" s="16" t="s">
        <v>25</v>
      </c>
      <c r="W5" s="16" t="s">
        <v>25</v>
      </c>
      <c r="X5" s="16" t="s">
        <v>25</v>
      </c>
      <c r="Y5" s="2"/>
      <c r="Z5" s="2"/>
      <c r="AA5" s="16" t="s">
        <v>25</v>
      </c>
      <c r="AB5" s="16" t="s">
        <v>25</v>
      </c>
      <c r="AC5" s="16" t="s">
        <v>25</v>
      </c>
      <c r="AD5" s="16" t="s">
        <v>25</v>
      </c>
      <c r="AE5" s="16" t="s">
        <v>25</v>
      </c>
      <c r="AF5" s="2"/>
      <c r="AG5" s="2"/>
    </row>
    <row r="6" spans="1:33" ht="18">
      <c r="A6" s="1">
        <v>4</v>
      </c>
      <c r="B6" s="1" t="s">
        <v>6</v>
      </c>
      <c r="C6" s="16" t="s">
        <v>25</v>
      </c>
      <c r="D6" s="2"/>
      <c r="E6" s="2"/>
      <c r="F6" s="16" t="s">
        <v>25</v>
      </c>
      <c r="G6" s="16" t="s">
        <v>25</v>
      </c>
      <c r="H6" s="16" t="s">
        <v>25</v>
      </c>
      <c r="I6" s="16" t="s">
        <v>25</v>
      </c>
      <c r="J6" s="4" t="s">
        <v>50</v>
      </c>
      <c r="K6" s="2"/>
      <c r="L6" s="2"/>
      <c r="M6" s="16" t="s">
        <v>25</v>
      </c>
      <c r="N6" s="16" t="s">
        <v>25</v>
      </c>
      <c r="O6" s="16" t="s">
        <v>25</v>
      </c>
      <c r="P6" s="16" t="s">
        <v>25</v>
      </c>
      <c r="Q6" s="17" t="s">
        <v>92</v>
      </c>
      <c r="R6" s="2"/>
      <c r="S6" s="2"/>
      <c r="T6" s="17" t="s">
        <v>92</v>
      </c>
      <c r="U6" s="17" t="s">
        <v>92</v>
      </c>
      <c r="V6" s="17" t="s">
        <v>92</v>
      </c>
      <c r="W6" s="17" t="s">
        <v>92</v>
      </c>
      <c r="X6" s="17" t="s">
        <v>92</v>
      </c>
      <c r="Y6" s="2"/>
      <c r="Z6" s="2"/>
      <c r="AA6" s="17" t="s">
        <v>92</v>
      </c>
      <c r="AB6" s="17" t="s">
        <v>92</v>
      </c>
      <c r="AC6" s="17" t="s">
        <v>92</v>
      </c>
      <c r="AD6" s="17" t="s">
        <v>92</v>
      </c>
      <c r="AE6" s="17" t="s">
        <v>92</v>
      </c>
      <c r="AF6" s="2"/>
      <c r="AG6" s="2"/>
    </row>
    <row r="7" spans="1:33" ht="18">
      <c r="A7" s="1">
        <v>5</v>
      </c>
      <c r="B7" s="1" t="s">
        <v>7</v>
      </c>
      <c r="C7" s="16" t="s">
        <v>25</v>
      </c>
      <c r="D7" s="2"/>
      <c r="E7" s="2"/>
      <c r="F7" s="16" t="s">
        <v>25</v>
      </c>
      <c r="G7" s="16" t="s">
        <v>25</v>
      </c>
      <c r="H7" s="16" t="s">
        <v>25</v>
      </c>
      <c r="I7" s="16" t="s">
        <v>25</v>
      </c>
      <c r="J7" s="16" t="s">
        <v>25</v>
      </c>
      <c r="K7" s="2"/>
      <c r="L7" s="2"/>
      <c r="M7" s="16" t="s">
        <v>25</v>
      </c>
      <c r="N7" s="16" t="s">
        <v>25</v>
      </c>
      <c r="O7" s="16" t="s">
        <v>25</v>
      </c>
      <c r="P7" s="16" t="s">
        <v>25</v>
      </c>
      <c r="Q7" s="17" t="s">
        <v>92</v>
      </c>
      <c r="R7" s="2"/>
      <c r="S7" s="2"/>
      <c r="T7" s="17" t="s">
        <v>92</v>
      </c>
      <c r="U7" s="17" t="s">
        <v>92</v>
      </c>
      <c r="V7" s="17" t="s">
        <v>92</v>
      </c>
      <c r="W7" s="17" t="s">
        <v>92</v>
      </c>
      <c r="X7" s="17" t="s">
        <v>92</v>
      </c>
      <c r="Y7" s="2"/>
      <c r="Z7" s="2"/>
      <c r="AA7" s="17" t="s">
        <v>92</v>
      </c>
      <c r="AB7" s="17" t="s">
        <v>92</v>
      </c>
      <c r="AC7" s="17" t="s">
        <v>92</v>
      </c>
      <c r="AD7" s="17" t="s">
        <v>92</v>
      </c>
      <c r="AE7" s="17" t="s">
        <v>92</v>
      </c>
      <c r="AF7" s="2"/>
      <c r="AG7" s="2"/>
    </row>
    <row r="8" spans="1:33" ht="18">
      <c r="A8" s="1">
        <v>6</v>
      </c>
      <c r="B8" s="1" t="s">
        <v>8</v>
      </c>
      <c r="C8" s="16" t="s">
        <v>25</v>
      </c>
      <c r="D8" s="2"/>
      <c r="E8" s="2"/>
      <c r="F8" s="17" t="s">
        <v>92</v>
      </c>
      <c r="G8" s="17" t="s">
        <v>92</v>
      </c>
      <c r="H8" s="17" t="s">
        <v>92</v>
      </c>
      <c r="I8" s="17" t="s">
        <v>92</v>
      </c>
      <c r="J8" s="17" t="s">
        <v>92</v>
      </c>
      <c r="K8" s="2"/>
      <c r="L8" s="2"/>
      <c r="M8" s="17" t="s">
        <v>92</v>
      </c>
      <c r="N8" s="17" t="s">
        <v>92</v>
      </c>
      <c r="O8" s="17" t="s">
        <v>92</v>
      </c>
      <c r="P8" s="17" t="s">
        <v>92</v>
      </c>
      <c r="Q8" s="17" t="s">
        <v>92</v>
      </c>
      <c r="R8" s="2"/>
      <c r="S8" s="2"/>
      <c r="T8" s="17" t="s">
        <v>92</v>
      </c>
      <c r="U8" s="17" t="s">
        <v>92</v>
      </c>
      <c r="V8" s="17" t="s">
        <v>92</v>
      </c>
      <c r="W8" s="17" t="s">
        <v>92</v>
      </c>
      <c r="X8" s="17" t="s">
        <v>92</v>
      </c>
      <c r="Y8" s="2"/>
      <c r="Z8" s="2"/>
      <c r="AA8" s="17" t="s">
        <v>92</v>
      </c>
      <c r="AB8" s="17" t="s">
        <v>92</v>
      </c>
      <c r="AC8" s="17" t="s">
        <v>92</v>
      </c>
      <c r="AD8" s="17" t="s">
        <v>92</v>
      </c>
      <c r="AE8" s="17" t="s">
        <v>92</v>
      </c>
      <c r="AF8" s="2"/>
      <c r="AG8" s="2"/>
    </row>
    <row r="9" spans="1:33" ht="18">
      <c r="A9" s="1">
        <v>7</v>
      </c>
      <c r="B9" s="1" t="s">
        <v>9</v>
      </c>
      <c r="C9" s="16" t="s">
        <v>25</v>
      </c>
      <c r="D9" s="2"/>
      <c r="E9" s="2"/>
      <c r="F9" s="16" t="s">
        <v>25</v>
      </c>
      <c r="G9" s="16" t="s">
        <v>25</v>
      </c>
      <c r="H9" s="16" t="s">
        <v>25</v>
      </c>
      <c r="I9" s="16" t="s">
        <v>25</v>
      </c>
      <c r="J9" s="16" t="s">
        <v>25</v>
      </c>
      <c r="K9" s="2"/>
      <c r="L9" s="2"/>
      <c r="M9" s="16" t="s">
        <v>25</v>
      </c>
      <c r="N9" s="16" t="s">
        <v>25</v>
      </c>
      <c r="O9" s="16" t="s">
        <v>50</v>
      </c>
      <c r="P9" s="16" t="s">
        <v>25</v>
      </c>
      <c r="Q9" s="16" t="s">
        <v>25</v>
      </c>
      <c r="R9" s="2"/>
      <c r="S9" s="2"/>
      <c r="T9" s="16" t="s">
        <v>25</v>
      </c>
      <c r="U9" s="16" t="s">
        <v>25</v>
      </c>
      <c r="V9" s="16" t="s">
        <v>25</v>
      </c>
      <c r="W9" s="1" t="s">
        <v>136</v>
      </c>
      <c r="X9" s="1" t="s">
        <v>62</v>
      </c>
      <c r="Y9" s="2"/>
      <c r="Z9" s="2"/>
      <c r="AA9" s="1" t="s">
        <v>136</v>
      </c>
      <c r="AB9" s="17" t="s">
        <v>92</v>
      </c>
      <c r="AC9" s="17" t="s">
        <v>92</v>
      </c>
      <c r="AD9" s="17" t="s">
        <v>92</v>
      </c>
      <c r="AE9" s="17" t="s">
        <v>92</v>
      </c>
      <c r="AF9" s="2"/>
      <c r="AG9" s="19" t="s">
        <v>92</v>
      </c>
    </row>
    <row r="10" spans="1:33">
      <c r="A10" s="1">
        <v>8</v>
      </c>
      <c r="B10" s="1" t="s">
        <v>10</v>
      </c>
      <c r="C10" s="4" t="s">
        <v>50</v>
      </c>
      <c r="D10" s="2"/>
      <c r="E10" s="2"/>
      <c r="F10" s="17" t="s">
        <v>92</v>
      </c>
      <c r="G10" s="17" t="s">
        <v>92</v>
      </c>
      <c r="H10" s="17" t="s">
        <v>92</v>
      </c>
      <c r="I10" s="17" t="s">
        <v>92</v>
      </c>
      <c r="J10" s="17" t="s">
        <v>92</v>
      </c>
      <c r="K10" s="2"/>
      <c r="L10" s="2"/>
      <c r="M10" s="17" t="s">
        <v>92</v>
      </c>
      <c r="N10" s="17" t="s">
        <v>92</v>
      </c>
      <c r="O10" s="17" t="s">
        <v>92</v>
      </c>
      <c r="P10" s="17" t="s">
        <v>92</v>
      </c>
      <c r="Q10" s="17" t="s">
        <v>92</v>
      </c>
      <c r="R10" s="2"/>
      <c r="S10" s="2"/>
      <c r="T10" s="17" t="s">
        <v>92</v>
      </c>
      <c r="U10" s="17" t="s">
        <v>92</v>
      </c>
      <c r="V10" s="17" t="s">
        <v>92</v>
      </c>
      <c r="W10" s="17" t="s">
        <v>92</v>
      </c>
      <c r="X10" s="17" t="s">
        <v>92</v>
      </c>
      <c r="Y10" s="2"/>
      <c r="Z10" s="2"/>
      <c r="AA10" s="17" t="s">
        <v>92</v>
      </c>
      <c r="AB10" s="17" t="s">
        <v>92</v>
      </c>
      <c r="AC10" s="17" t="s">
        <v>92</v>
      </c>
      <c r="AD10" s="17" t="s">
        <v>92</v>
      </c>
      <c r="AE10" s="17" t="s">
        <v>92</v>
      </c>
      <c r="AF10" s="2"/>
      <c r="AG10" s="2"/>
    </row>
    <row r="11" spans="1:33" ht="18">
      <c r="A11" s="1">
        <v>9</v>
      </c>
      <c r="B11" s="1" t="s">
        <v>11</v>
      </c>
      <c r="C11" s="16" t="s">
        <v>25</v>
      </c>
      <c r="D11" s="2"/>
      <c r="E11" s="2"/>
      <c r="F11" s="16" t="s">
        <v>25</v>
      </c>
      <c r="G11" s="16" t="s">
        <v>25</v>
      </c>
      <c r="H11" s="16" t="s">
        <v>25</v>
      </c>
      <c r="I11" s="16" t="s">
        <v>25</v>
      </c>
      <c r="J11" s="16" t="s">
        <v>25</v>
      </c>
      <c r="K11" s="2"/>
      <c r="L11" s="2"/>
      <c r="M11" s="16" t="s">
        <v>25</v>
      </c>
      <c r="N11" s="16" t="s">
        <v>25</v>
      </c>
      <c r="O11" s="16" t="s">
        <v>25</v>
      </c>
      <c r="P11" s="16" t="s">
        <v>25</v>
      </c>
      <c r="Q11" s="17" t="s">
        <v>92</v>
      </c>
      <c r="R11" s="2"/>
      <c r="S11" s="2"/>
      <c r="T11" s="17" t="s">
        <v>92</v>
      </c>
      <c r="U11" s="17" t="s">
        <v>92</v>
      </c>
      <c r="V11" s="17" t="s">
        <v>92</v>
      </c>
      <c r="W11" s="17" t="s">
        <v>92</v>
      </c>
      <c r="X11" s="17" t="s">
        <v>92</v>
      </c>
      <c r="Y11" s="2"/>
      <c r="Z11" s="2"/>
      <c r="AA11" s="17" t="s">
        <v>92</v>
      </c>
      <c r="AB11" s="17" t="s">
        <v>92</v>
      </c>
      <c r="AC11" s="17" t="s">
        <v>92</v>
      </c>
      <c r="AD11" s="17" t="s">
        <v>92</v>
      </c>
      <c r="AE11" s="17" t="s">
        <v>92</v>
      </c>
      <c r="AF11" s="2"/>
      <c r="AG11" s="2"/>
    </row>
    <row r="12" spans="1:33">
      <c r="A12" s="1">
        <v>10</v>
      </c>
      <c r="B12" s="1" t="s">
        <v>12</v>
      </c>
      <c r="C12" s="17" t="s">
        <v>92</v>
      </c>
      <c r="D12" s="2"/>
      <c r="E12" s="2"/>
      <c r="F12" s="17" t="s">
        <v>92</v>
      </c>
      <c r="G12" s="17" t="s">
        <v>92</v>
      </c>
      <c r="H12" s="17" t="s">
        <v>92</v>
      </c>
      <c r="I12" s="17" t="s">
        <v>92</v>
      </c>
      <c r="J12" s="17" t="s">
        <v>92</v>
      </c>
      <c r="K12" s="2"/>
      <c r="L12" s="2"/>
      <c r="M12" s="17" t="s">
        <v>92</v>
      </c>
      <c r="N12" s="17" t="s">
        <v>92</v>
      </c>
      <c r="O12" s="17" t="s">
        <v>92</v>
      </c>
      <c r="P12" s="17" t="s">
        <v>92</v>
      </c>
      <c r="Q12" s="17" t="s">
        <v>92</v>
      </c>
      <c r="R12" s="2"/>
      <c r="S12" s="2"/>
      <c r="T12" s="17" t="s">
        <v>92</v>
      </c>
      <c r="U12" s="17" t="s">
        <v>92</v>
      </c>
      <c r="V12" s="17" t="s">
        <v>92</v>
      </c>
      <c r="W12" s="17" t="s">
        <v>92</v>
      </c>
      <c r="X12" s="17" t="s">
        <v>92</v>
      </c>
      <c r="Y12" s="2"/>
      <c r="Z12" s="2"/>
      <c r="AA12" s="17" t="s">
        <v>92</v>
      </c>
      <c r="AB12" s="17" t="s">
        <v>92</v>
      </c>
      <c r="AC12" s="17" t="s">
        <v>92</v>
      </c>
      <c r="AD12" s="17" t="s">
        <v>92</v>
      </c>
      <c r="AE12" s="17" t="s">
        <v>92</v>
      </c>
      <c r="AF12" s="2"/>
      <c r="AG12" s="2"/>
    </row>
    <row r="13" spans="1:33" ht="18">
      <c r="A13" s="1">
        <v>11</v>
      </c>
      <c r="B13" s="1" t="s">
        <v>13</v>
      </c>
      <c r="C13" s="16" t="s">
        <v>25</v>
      </c>
      <c r="D13" s="2"/>
      <c r="E13" s="2"/>
      <c r="F13" s="16" t="s">
        <v>25</v>
      </c>
      <c r="G13" s="17" t="s">
        <v>62</v>
      </c>
      <c r="H13" s="16" t="s">
        <v>25</v>
      </c>
      <c r="I13" s="16" t="s">
        <v>25</v>
      </c>
      <c r="J13" s="16" t="s">
        <v>25</v>
      </c>
      <c r="K13" s="2"/>
      <c r="L13" s="2"/>
      <c r="M13" s="16" t="s">
        <v>25</v>
      </c>
      <c r="N13" s="16" t="s">
        <v>25</v>
      </c>
      <c r="O13" s="16" t="s">
        <v>25</v>
      </c>
      <c r="P13" s="16" t="s">
        <v>25</v>
      </c>
      <c r="Q13" s="16" t="s">
        <v>25</v>
      </c>
      <c r="R13" s="2"/>
      <c r="S13" s="2"/>
      <c r="T13" s="17" t="s">
        <v>92</v>
      </c>
      <c r="U13" s="17" t="s">
        <v>92</v>
      </c>
      <c r="V13" s="17" t="s">
        <v>92</v>
      </c>
      <c r="W13" s="17" t="s">
        <v>92</v>
      </c>
      <c r="X13" s="17" t="s">
        <v>92</v>
      </c>
      <c r="Y13" s="2"/>
      <c r="Z13" s="2"/>
      <c r="AA13" s="17" t="s">
        <v>92</v>
      </c>
      <c r="AB13" s="17" t="s">
        <v>92</v>
      </c>
      <c r="AC13" s="17" t="s">
        <v>92</v>
      </c>
      <c r="AD13" s="17" t="s">
        <v>92</v>
      </c>
      <c r="AE13" s="17" t="s">
        <v>92</v>
      </c>
      <c r="AF13" s="2"/>
      <c r="AG13" s="2"/>
    </row>
    <row r="14" spans="1:33" ht="18">
      <c r="A14" s="1">
        <v>12</v>
      </c>
      <c r="B14" s="1" t="s">
        <v>14</v>
      </c>
      <c r="C14" s="16" t="s">
        <v>25</v>
      </c>
      <c r="D14" s="2"/>
      <c r="E14" s="2"/>
      <c r="F14" s="16" t="s">
        <v>25</v>
      </c>
      <c r="G14" s="16" t="s">
        <v>25</v>
      </c>
      <c r="H14" s="16" t="s">
        <v>25</v>
      </c>
      <c r="I14" s="16" t="s">
        <v>25</v>
      </c>
      <c r="J14" s="16" t="s">
        <v>25</v>
      </c>
      <c r="K14" s="2"/>
      <c r="L14" s="2"/>
      <c r="M14" s="16" t="s">
        <v>25</v>
      </c>
      <c r="N14" s="16" t="s">
        <v>25</v>
      </c>
      <c r="O14" s="16" t="s">
        <v>25</v>
      </c>
      <c r="P14" s="16" t="s">
        <v>25</v>
      </c>
      <c r="Q14" s="17" t="s">
        <v>92</v>
      </c>
      <c r="R14" s="2"/>
      <c r="S14" s="2"/>
      <c r="T14" s="17" t="s">
        <v>92</v>
      </c>
      <c r="U14" s="17" t="s">
        <v>92</v>
      </c>
      <c r="V14" s="17" t="s">
        <v>92</v>
      </c>
      <c r="W14" s="17" t="s">
        <v>92</v>
      </c>
      <c r="X14" s="17" t="s">
        <v>92</v>
      </c>
      <c r="Y14" s="2"/>
      <c r="Z14" s="2"/>
      <c r="AA14" s="17" t="s">
        <v>92</v>
      </c>
      <c r="AB14" s="17" t="s">
        <v>92</v>
      </c>
      <c r="AC14" s="17" t="s">
        <v>92</v>
      </c>
      <c r="AD14" s="17" t="s">
        <v>92</v>
      </c>
      <c r="AE14" s="17" t="s">
        <v>92</v>
      </c>
      <c r="AF14" s="2"/>
      <c r="AG14" s="2"/>
    </row>
    <row r="15" spans="1:33" ht="18">
      <c r="A15" s="1">
        <v>13</v>
      </c>
      <c r="B15" s="1" t="s">
        <v>16</v>
      </c>
      <c r="C15" s="16" t="s">
        <v>25</v>
      </c>
      <c r="D15" s="2"/>
      <c r="E15" s="2"/>
      <c r="F15" s="17" t="s">
        <v>92</v>
      </c>
      <c r="G15" s="17" t="s">
        <v>92</v>
      </c>
      <c r="H15" s="17" t="s">
        <v>92</v>
      </c>
      <c r="I15" s="17" t="s">
        <v>92</v>
      </c>
      <c r="J15" s="17" t="s">
        <v>92</v>
      </c>
      <c r="K15" s="2"/>
      <c r="L15" s="2"/>
      <c r="M15" s="17" t="s">
        <v>92</v>
      </c>
      <c r="N15" s="17" t="s">
        <v>92</v>
      </c>
      <c r="O15" s="17" t="s">
        <v>92</v>
      </c>
      <c r="P15" s="17" t="s">
        <v>92</v>
      </c>
      <c r="Q15" s="17" t="s">
        <v>92</v>
      </c>
      <c r="R15" s="2"/>
      <c r="S15" s="2"/>
      <c r="T15" s="17" t="s">
        <v>92</v>
      </c>
      <c r="U15" s="17" t="s">
        <v>92</v>
      </c>
      <c r="V15" s="17" t="s">
        <v>92</v>
      </c>
      <c r="W15" s="17" t="s">
        <v>92</v>
      </c>
      <c r="X15" s="17" t="s">
        <v>92</v>
      </c>
      <c r="Y15" s="2"/>
      <c r="Z15" s="2"/>
      <c r="AA15" s="17" t="s">
        <v>92</v>
      </c>
      <c r="AB15" s="17" t="s">
        <v>92</v>
      </c>
      <c r="AC15" s="17" t="s">
        <v>92</v>
      </c>
      <c r="AD15" s="17" t="s">
        <v>92</v>
      </c>
      <c r="AE15" s="17" t="s">
        <v>92</v>
      </c>
      <c r="AF15" s="2"/>
      <c r="AG15" s="2"/>
    </row>
    <row r="16" spans="1:33" ht="18">
      <c r="A16" s="1">
        <v>14</v>
      </c>
      <c r="B16" s="1" t="s">
        <v>60</v>
      </c>
      <c r="C16" s="16" t="s">
        <v>25</v>
      </c>
      <c r="D16" s="2"/>
      <c r="E16" s="2"/>
      <c r="F16" s="16" t="s">
        <v>25</v>
      </c>
      <c r="G16" s="16" t="s">
        <v>25</v>
      </c>
      <c r="H16" s="16" t="s">
        <v>25</v>
      </c>
      <c r="I16" s="16" t="s">
        <v>25</v>
      </c>
      <c r="J16" s="17" t="s">
        <v>62</v>
      </c>
      <c r="K16" s="2"/>
      <c r="L16" s="2"/>
      <c r="M16" s="16" t="s">
        <v>25</v>
      </c>
      <c r="N16" s="16" t="s">
        <v>25</v>
      </c>
      <c r="O16" s="16" t="s">
        <v>25</v>
      </c>
      <c r="P16" s="16" t="s">
        <v>25</v>
      </c>
      <c r="Q16" s="16" t="s">
        <v>25</v>
      </c>
      <c r="R16" s="2"/>
      <c r="S16" s="2"/>
      <c r="T16" s="4" t="s">
        <v>50</v>
      </c>
      <c r="U16" s="17" t="s">
        <v>62</v>
      </c>
      <c r="V16" s="16" t="s">
        <v>25</v>
      </c>
      <c r="W16" s="16" t="s">
        <v>25</v>
      </c>
      <c r="X16" s="16" t="s">
        <v>25</v>
      </c>
      <c r="Y16" s="2"/>
      <c r="Z16" s="2"/>
      <c r="AA16" s="16" t="s">
        <v>25</v>
      </c>
      <c r="AB16" s="16" t="s">
        <v>25</v>
      </c>
      <c r="AC16" s="16" t="s">
        <v>25</v>
      </c>
      <c r="AD16" s="16" t="s">
        <v>25</v>
      </c>
      <c r="AE16" s="16" t="s">
        <v>25</v>
      </c>
      <c r="AF16" s="2"/>
      <c r="AG16" s="2"/>
    </row>
    <row r="17" spans="1:33" ht="18">
      <c r="A17" s="1">
        <v>15</v>
      </c>
      <c r="B17" s="1" t="s">
        <v>66</v>
      </c>
      <c r="C17" s="16" t="s">
        <v>25</v>
      </c>
      <c r="D17" s="2"/>
      <c r="E17" s="2"/>
      <c r="F17" s="16" t="s">
        <v>25</v>
      </c>
      <c r="G17" s="16" t="s">
        <v>25</v>
      </c>
      <c r="H17" s="16" t="s">
        <v>25</v>
      </c>
      <c r="I17" s="16" t="s">
        <v>25</v>
      </c>
      <c r="J17" s="16" t="s">
        <v>25</v>
      </c>
      <c r="K17" s="2"/>
      <c r="L17" s="2"/>
      <c r="M17" s="16" t="s">
        <v>25</v>
      </c>
      <c r="N17" s="16" t="s">
        <v>25</v>
      </c>
      <c r="O17" s="16" t="s">
        <v>25</v>
      </c>
      <c r="P17" s="16" t="s">
        <v>25</v>
      </c>
      <c r="Q17" s="16" t="s">
        <v>25</v>
      </c>
      <c r="R17" s="2"/>
      <c r="S17" s="2"/>
      <c r="T17" s="16" t="s">
        <v>25</v>
      </c>
      <c r="U17" s="16" t="s">
        <v>25</v>
      </c>
      <c r="V17" s="16" t="s">
        <v>25</v>
      </c>
      <c r="W17" s="16" t="s">
        <v>25</v>
      </c>
      <c r="X17" s="16" t="s">
        <v>25</v>
      </c>
      <c r="Y17" s="2"/>
      <c r="Z17" s="2"/>
      <c r="AA17" s="16" t="s">
        <v>25</v>
      </c>
      <c r="AB17" s="16" t="s">
        <v>25</v>
      </c>
      <c r="AC17" s="16" t="s">
        <v>25</v>
      </c>
      <c r="AD17" s="16" t="s">
        <v>25</v>
      </c>
      <c r="AE17" s="16" t="s">
        <v>25</v>
      </c>
      <c r="AF17" s="2"/>
      <c r="AG17" s="2"/>
    </row>
    <row r="18" spans="1:33" ht="18">
      <c r="A18" s="1">
        <v>16</v>
      </c>
      <c r="B18" s="1" t="s">
        <v>87</v>
      </c>
      <c r="C18" s="16" t="s">
        <v>25</v>
      </c>
      <c r="D18" s="2"/>
      <c r="E18" s="2"/>
      <c r="F18" s="16" t="s">
        <v>25</v>
      </c>
      <c r="G18" s="16" t="s">
        <v>25</v>
      </c>
      <c r="H18" s="16" t="s">
        <v>25</v>
      </c>
      <c r="I18" s="16" t="s">
        <v>25</v>
      </c>
      <c r="J18" s="16" t="s">
        <v>25</v>
      </c>
      <c r="K18" s="2"/>
      <c r="L18" s="2"/>
      <c r="M18" s="16" t="s">
        <v>25</v>
      </c>
      <c r="N18" s="16" t="s">
        <v>25</v>
      </c>
      <c r="O18" s="16" t="s">
        <v>25</v>
      </c>
      <c r="P18" s="16" t="s">
        <v>25</v>
      </c>
      <c r="Q18" s="16" t="s">
        <v>25</v>
      </c>
      <c r="R18" s="2"/>
      <c r="S18" s="2"/>
      <c r="T18" s="16" t="s">
        <v>25</v>
      </c>
      <c r="U18" s="16" t="s">
        <v>25</v>
      </c>
      <c r="V18" s="16" t="s">
        <v>25</v>
      </c>
      <c r="W18" s="16" t="s">
        <v>25</v>
      </c>
      <c r="X18" s="16" t="s">
        <v>25</v>
      </c>
      <c r="Y18" s="2"/>
      <c r="Z18" s="2"/>
      <c r="AA18" s="16" t="s">
        <v>25</v>
      </c>
      <c r="AB18" s="16" t="s">
        <v>25</v>
      </c>
      <c r="AC18" s="16" t="s">
        <v>25</v>
      </c>
      <c r="AD18" s="16" t="s">
        <v>25</v>
      </c>
      <c r="AE18" s="16" t="s">
        <v>25</v>
      </c>
      <c r="AF18" s="2"/>
      <c r="AG18" s="2"/>
    </row>
    <row r="19" spans="1:33" ht="18">
      <c r="A19" s="1">
        <v>17</v>
      </c>
      <c r="B19" s="1" t="s">
        <v>104</v>
      </c>
      <c r="C19" s="16" t="s">
        <v>25</v>
      </c>
      <c r="D19" s="2"/>
      <c r="E19" s="2"/>
      <c r="F19" s="16" t="s">
        <v>25</v>
      </c>
      <c r="G19" s="16" t="s">
        <v>25</v>
      </c>
      <c r="H19" s="16" t="s">
        <v>25</v>
      </c>
      <c r="I19" s="16" t="s">
        <v>25</v>
      </c>
      <c r="J19" s="16" t="s">
        <v>25</v>
      </c>
      <c r="K19" s="2"/>
      <c r="L19" s="2"/>
      <c r="M19" s="16" t="s">
        <v>25</v>
      </c>
      <c r="N19" s="16" t="s">
        <v>25</v>
      </c>
      <c r="O19" s="16" t="s">
        <v>25</v>
      </c>
      <c r="P19" s="16" t="s">
        <v>25</v>
      </c>
      <c r="Q19" s="16" t="s">
        <v>25</v>
      </c>
      <c r="R19" s="2"/>
      <c r="S19" s="2"/>
      <c r="T19" s="16" t="s">
        <v>25</v>
      </c>
      <c r="U19" s="16" t="s">
        <v>25</v>
      </c>
      <c r="V19" s="16" t="s">
        <v>25</v>
      </c>
      <c r="W19" s="16" t="s">
        <v>25</v>
      </c>
      <c r="X19" s="16" t="s">
        <v>25</v>
      </c>
      <c r="Y19" s="2"/>
      <c r="Z19" s="2"/>
      <c r="AA19" s="16" t="s">
        <v>25</v>
      </c>
      <c r="AB19" s="16" t="s">
        <v>25</v>
      </c>
      <c r="AC19" s="16" t="s">
        <v>25</v>
      </c>
      <c r="AD19" s="16" t="s">
        <v>25</v>
      </c>
      <c r="AE19" s="16" t="s">
        <v>25</v>
      </c>
      <c r="AF19" s="2"/>
      <c r="AG19" s="2"/>
    </row>
    <row r="20" spans="1:33" ht="18">
      <c r="A20" s="1">
        <v>18</v>
      </c>
      <c r="B20" s="1" t="s">
        <v>139</v>
      </c>
      <c r="C20" s="16" t="s">
        <v>140</v>
      </c>
      <c r="D20" s="2"/>
      <c r="E20" s="2"/>
      <c r="F20" s="16" t="s">
        <v>140</v>
      </c>
      <c r="G20" s="16" t="s">
        <v>140</v>
      </c>
      <c r="H20" s="16" t="s">
        <v>140</v>
      </c>
      <c r="I20" s="16" t="s">
        <v>140</v>
      </c>
      <c r="J20" s="16" t="s">
        <v>140</v>
      </c>
      <c r="K20" s="2"/>
      <c r="L20" s="2"/>
      <c r="M20" s="16" t="s">
        <v>140</v>
      </c>
      <c r="N20" s="16" t="s">
        <v>140</v>
      </c>
      <c r="O20" s="16" t="s">
        <v>140</v>
      </c>
      <c r="P20" s="16" t="s">
        <v>140</v>
      </c>
      <c r="Q20" s="16" t="s">
        <v>140</v>
      </c>
      <c r="R20" s="2"/>
      <c r="S20" s="2"/>
      <c r="T20" s="16" t="s">
        <v>140</v>
      </c>
      <c r="U20" s="16" t="s">
        <v>140</v>
      </c>
      <c r="V20" s="16" t="s">
        <v>140</v>
      </c>
      <c r="W20" s="16" t="s">
        <v>140</v>
      </c>
      <c r="X20" s="16" t="s">
        <v>140</v>
      </c>
      <c r="Y20" s="2"/>
      <c r="Z20" s="2"/>
      <c r="AA20" s="16" t="s">
        <v>140</v>
      </c>
      <c r="AB20" s="16" t="s">
        <v>140</v>
      </c>
      <c r="AC20" s="16" t="s">
        <v>140</v>
      </c>
      <c r="AD20" s="16" t="s">
        <v>140</v>
      </c>
      <c r="AE20" s="16" t="s">
        <v>140</v>
      </c>
      <c r="AF20" s="2"/>
      <c r="AG20" s="2"/>
    </row>
    <row r="21" spans="1:33">
      <c r="A21" s="5" t="s">
        <v>56</v>
      </c>
      <c r="B21" t="s">
        <v>23</v>
      </c>
    </row>
    <row r="22" spans="1:33">
      <c r="A22" s="4" t="s">
        <v>50</v>
      </c>
      <c r="B22" t="s">
        <v>24</v>
      </c>
    </row>
    <row r="23" spans="1:33">
      <c r="A23" s="7" t="s">
        <v>30</v>
      </c>
      <c r="B23" s="6" t="s">
        <v>29</v>
      </c>
    </row>
    <row r="25" spans="1:33">
      <c r="A25" s="11" t="s">
        <v>43</v>
      </c>
    </row>
    <row r="26" spans="1:33">
      <c r="A26" s="12" t="s">
        <v>44</v>
      </c>
    </row>
    <row r="27" spans="1:33">
      <c r="A27" s="12" t="s">
        <v>45</v>
      </c>
    </row>
    <row r="28" spans="1:33">
      <c r="A28" s="12" t="s">
        <v>41</v>
      </c>
    </row>
    <row r="29" spans="1:33">
      <c r="A29" s="12" t="s">
        <v>46</v>
      </c>
    </row>
    <row r="30" spans="1:33">
      <c r="A30" s="12" t="s">
        <v>47</v>
      </c>
    </row>
    <row r="31" spans="1:33">
      <c r="A31" s="12" t="s">
        <v>42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20">
    <cfRule type="duplicateValues" dxfId="22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AH20"/>
  <sheetViews>
    <sheetView workbookViewId="0">
      <selection activeCell="A19" sqref="A19:XFD20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0" width="8.83203125" hidden="1" customWidth="1"/>
    <col min="31" max="33" width="8.83203125" customWidth="1"/>
  </cols>
  <sheetData>
    <row r="1" spans="1:34" ht="27">
      <c r="A1" s="71" t="s">
        <v>17</v>
      </c>
      <c r="B1" s="71"/>
      <c r="C1" s="64" t="s">
        <v>57</v>
      </c>
      <c r="D1" s="68">
        <v>45505</v>
      </c>
      <c r="E1" s="68">
        <v>45506</v>
      </c>
      <c r="F1" s="68">
        <v>45507</v>
      </c>
      <c r="G1" s="68">
        <v>45508</v>
      </c>
      <c r="H1" s="68">
        <v>45509</v>
      </c>
      <c r="I1" s="68">
        <v>45510</v>
      </c>
      <c r="J1" s="68">
        <v>45511</v>
      </c>
      <c r="K1" s="68">
        <v>45512</v>
      </c>
      <c r="L1" s="68">
        <v>45513</v>
      </c>
      <c r="M1" s="68">
        <v>45514</v>
      </c>
      <c r="N1" s="68">
        <v>45515</v>
      </c>
      <c r="O1" s="68">
        <v>45516</v>
      </c>
      <c r="P1" s="68">
        <v>45517</v>
      </c>
      <c r="Q1" s="68">
        <v>45518</v>
      </c>
      <c r="R1" s="68">
        <v>45519</v>
      </c>
      <c r="S1" s="68">
        <v>45520</v>
      </c>
      <c r="T1" s="68">
        <v>45521</v>
      </c>
      <c r="U1" s="68">
        <v>45522</v>
      </c>
      <c r="V1" s="68">
        <v>45523</v>
      </c>
      <c r="W1" s="68">
        <v>45524</v>
      </c>
      <c r="X1" s="68">
        <v>45525</v>
      </c>
      <c r="Y1" s="68">
        <v>45526</v>
      </c>
      <c r="Z1" s="68">
        <v>45527</v>
      </c>
      <c r="AA1" s="68">
        <v>45528</v>
      </c>
      <c r="AB1" s="68">
        <v>45529</v>
      </c>
      <c r="AC1" s="68">
        <v>45530</v>
      </c>
      <c r="AD1" s="68">
        <v>45531</v>
      </c>
      <c r="AE1" s="68">
        <v>45532</v>
      </c>
      <c r="AF1" s="68">
        <v>45533</v>
      </c>
      <c r="AG1" s="68">
        <v>45534</v>
      </c>
      <c r="AH1" s="68">
        <v>45535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2"/>
      <c r="F3" s="2"/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2"/>
      <c r="N3" s="1">
        <v>0</v>
      </c>
      <c r="O3" s="1">
        <v>0</v>
      </c>
      <c r="P3" s="1">
        <v>0</v>
      </c>
      <c r="Q3" s="1">
        <v>0</v>
      </c>
      <c r="R3" s="1">
        <v>0</v>
      </c>
      <c r="S3" s="2"/>
      <c r="T3" s="2"/>
      <c r="U3" s="1">
        <v>0</v>
      </c>
      <c r="V3" s="1">
        <v>0</v>
      </c>
      <c r="W3" s="1">
        <v>0</v>
      </c>
      <c r="X3" s="1">
        <v>0</v>
      </c>
      <c r="Y3" s="1">
        <v>0</v>
      </c>
      <c r="Z3" s="2"/>
      <c r="AA3" s="2"/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2"/>
      <c r="AH3" s="2"/>
    </row>
    <row r="4" spans="1:34">
      <c r="A4" s="1">
        <v>2</v>
      </c>
      <c r="B4" s="1" t="s">
        <v>4</v>
      </c>
      <c r="C4" s="1">
        <f t="shared" ref="C4:C20" si="0">SUM(D4:AH4)</f>
        <v>17</v>
      </c>
      <c r="D4" s="1">
        <v>0</v>
      </c>
      <c r="E4" s="2"/>
      <c r="F4" s="2"/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2"/>
      <c r="N4" s="1">
        <v>0</v>
      </c>
      <c r="O4" s="1">
        <v>0</v>
      </c>
      <c r="P4" s="1">
        <v>0</v>
      </c>
      <c r="Q4" s="1">
        <v>0</v>
      </c>
      <c r="R4" s="1">
        <v>0</v>
      </c>
      <c r="S4" s="2"/>
      <c r="T4" s="2"/>
      <c r="U4" s="1">
        <v>0</v>
      </c>
      <c r="V4" s="1">
        <v>0</v>
      </c>
      <c r="W4" s="1">
        <v>0</v>
      </c>
      <c r="X4" s="1">
        <v>0</v>
      </c>
      <c r="Y4" s="1">
        <v>0</v>
      </c>
      <c r="Z4" s="2"/>
      <c r="AA4" s="2"/>
      <c r="AB4" s="1">
        <v>0</v>
      </c>
      <c r="AC4" s="1">
        <v>1</v>
      </c>
      <c r="AD4" s="1">
        <v>0</v>
      </c>
      <c r="AE4" s="1">
        <v>16</v>
      </c>
      <c r="AF4" s="1">
        <v>0</v>
      </c>
      <c r="AG4" s="2"/>
      <c r="AH4" s="2"/>
    </row>
    <row r="5" spans="1:34">
      <c r="A5" s="1">
        <v>3</v>
      </c>
      <c r="B5" s="1" t="s">
        <v>5</v>
      </c>
      <c r="C5" s="1">
        <f t="shared" si="0"/>
        <v>1</v>
      </c>
      <c r="D5" s="1">
        <v>0</v>
      </c>
      <c r="E5" s="2"/>
      <c r="F5" s="2"/>
      <c r="G5" s="1">
        <v>0</v>
      </c>
      <c r="H5" s="1">
        <v>1</v>
      </c>
      <c r="I5" s="1">
        <v>0</v>
      </c>
      <c r="J5" s="1">
        <v>0</v>
      </c>
      <c r="K5" s="1">
        <v>0</v>
      </c>
      <c r="L5" s="2"/>
      <c r="M5" s="2"/>
      <c r="N5" s="1">
        <v>0</v>
      </c>
      <c r="O5" s="1">
        <v>0</v>
      </c>
      <c r="P5" s="1">
        <v>0</v>
      </c>
      <c r="Q5" s="1">
        <v>0</v>
      </c>
      <c r="R5" s="1">
        <v>0</v>
      </c>
      <c r="S5" s="2"/>
      <c r="T5" s="2"/>
      <c r="U5" s="1">
        <v>0</v>
      </c>
      <c r="V5" s="1">
        <v>0</v>
      </c>
      <c r="W5" s="1">
        <v>0</v>
      </c>
      <c r="X5" s="1">
        <v>0</v>
      </c>
      <c r="Y5" s="1">
        <v>0</v>
      </c>
      <c r="Z5" s="2"/>
      <c r="AA5" s="2"/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"/>
      <c r="AH5" s="2"/>
    </row>
    <row r="6" spans="1:34">
      <c r="A6" s="1">
        <v>4</v>
      </c>
      <c r="B6" s="1" t="s">
        <v>6</v>
      </c>
      <c r="C6" s="1">
        <f t="shared" si="0"/>
        <v>18</v>
      </c>
      <c r="D6" s="1">
        <v>0</v>
      </c>
      <c r="E6" s="2"/>
      <c r="F6" s="2"/>
      <c r="G6" s="1">
        <v>2</v>
      </c>
      <c r="H6" s="1">
        <v>0</v>
      </c>
      <c r="I6" s="1">
        <v>0</v>
      </c>
      <c r="J6" s="1">
        <v>0</v>
      </c>
      <c r="K6" s="1">
        <v>16</v>
      </c>
      <c r="L6" s="2"/>
      <c r="M6" s="2"/>
      <c r="N6" s="1">
        <v>0</v>
      </c>
      <c r="O6" s="1">
        <v>0</v>
      </c>
      <c r="P6" s="1">
        <v>0</v>
      </c>
      <c r="Q6" s="1">
        <v>0</v>
      </c>
      <c r="R6" s="1">
        <v>0</v>
      </c>
      <c r="S6" s="2"/>
      <c r="T6" s="2"/>
      <c r="U6" s="1">
        <v>0</v>
      </c>
      <c r="V6" s="1">
        <v>0</v>
      </c>
      <c r="W6" s="1">
        <v>0</v>
      </c>
      <c r="X6" s="1">
        <v>0</v>
      </c>
      <c r="Y6" s="1">
        <v>0</v>
      </c>
      <c r="Z6" s="2"/>
      <c r="AA6" s="2"/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2"/>
      <c r="AH6" s="2"/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2"/>
      <c r="F7" s="2"/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2"/>
      <c r="N7" s="1">
        <v>0</v>
      </c>
      <c r="O7" s="1">
        <v>0</v>
      </c>
      <c r="P7" s="1">
        <v>0</v>
      </c>
      <c r="Q7" s="1">
        <v>0</v>
      </c>
      <c r="R7" s="1">
        <v>0</v>
      </c>
      <c r="S7" s="2"/>
      <c r="T7" s="2"/>
      <c r="U7" s="1">
        <v>0</v>
      </c>
      <c r="V7" s="1">
        <v>0</v>
      </c>
      <c r="W7" s="1">
        <v>0</v>
      </c>
      <c r="X7" s="1">
        <v>0</v>
      </c>
      <c r="Y7" s="1">
        <v>0</v>
      </c>
      <c r="Z7" s="2"/>
      <c r="AA7" s="2"/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"/>
      <c r="AH7" s="2"/>
    </row>
    <row r="8" spans="1:34">
      <c r="A8" s="1">
        <v>6</v>
      </c>
      <c r="B8" s="1" t="s">
        <v>8</v>
      </c>
      <c r="C8" s="1">
        <f t="shared" si="0"/>
        <v>0</v>
      </c>
      <c r="D8" s="1">
        <v>0</v>
      </c>
      <c r="E8" s="2"/>
      <c r="F8" s="2"/>
      <c r="G8" s="1">
        <v>0</v>
      </c>
      <c r="H8" s="1">
        <v>0</v>
      </c>
      <c r="I8" s="1">
        <v>0</v>
      </c>
      <c r="J8" s="1">
        <v>0</v>
      </c>
      <c r="K8" s="1">
        <v>0</v>
      </c>
      <c r="L8" s="2"/>
      <c r="M8" s="2"/>
      <c r="N8" s="1">
        <v>0</v>
      </c>
      <c r="O8" s="1">
        <v>0</v>
      </c>
      <c r="P8" s="1">
        <v>0</v>
      </c>
      <c r="Q8" s="1">
        <v>0</v>
      </c>
      <c r="R8" s="1">
        <v>0</v>
      </c>
      <c r="S8" s="2"/>
      <c r="T8" s="2"/>
      <c r="U8" s="1">
        <v>0</v>
      </c>
      <c r="V8" s="1">
        <v>0</v>
      </c>
      <c r="W8" s="1">
        <v>0</v>
      </c>
      <c r="X8" s="1">
        <v>0</v>
      </c>
      <c r="Y8" s="1">
        <v>0</v>
      </c>
      <c r="Z8" s="2"/>
      <c r="AA8" s="2"/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2"/>
      <c r="AH8" s="2"/>
    </row>
    <row r="9" spans="1:34">
      <c r="A9" s="1">
        <v>7</v>
      </c>
      <c r="B9" s="1" t="s">
        <v>9</v>
      </c>
      <c r="C9" s="1">
        <f t="shared" si="0"/>
        <v>48</v>
      </c>
      <c r="D9" s="1">
        <v>0</v>
      </c>
      <c r="E9" s="2"/>
      <c r="F9" s="2"/>
      <c r="G9" s="1">
        <v>0</v>
      </c>
      <c r="H9" s="1">
        <v>0</v>
      </c>
      <c r="I9" s="1">
        <v>0</v>
      </c>
      <c r="J9" s="1">
        <v>0</v>
      </c>
      <c r="K9" s="1">
        <v>0</v>
      </c>
      <c r="L9" s="2"/>
      <c r="M9" s="2"/>
      <c r="N9" s="1">
        <v>0</v>
      </c>
      <c r="O9" s="1">
        <v>0</v>
      </c>
      <c r="P9" s="1">
        <v>16</v>
      </c>
      <c r="Q9" s="1">
        <v>0</v>
      </c>
      <c r="R9" s="1">
        <v>0</v>
      </c>
      <c r="S9" s="2"/>
      <c r="T9" s="2"/>
      <c r="U9" s="1">
        <v>0</v>
      </c>
      <c r="V9" s="1">
        <v>0</v>
      </c>
      <c r="W9" s="1">
        <v>0</v>
      </c>
      <c r="X9" s="1">
        <v>16</v>
      </c>
      <c r="Y9" s="1">
        <v>0</v>
      </c>
      <c r="Z9" s="2"/>
      <c r="AA9" s="2"/>
      <c r="AB9" s="1">
        <v>16</v>
      </c>
      <c r="AC9" s="1">
        <v>0</v>
      </c>
      <c r="AD9" s="1">
        <v>0</v>
      </c>
      <c r="AE9" s="1">
        <v>0</v>
      </c>
      <c r="AF9" s="1">
        <v>0</v>
      </c>
      <c r="AG9" s="2"/>
      <c r="AH9" s="2"/>
    </row>
    <row r="10" spans="1:34">
      <c r="A10" s="1">
        <v>8</v>
      </c>
      <c r="B10" s="1" t="s">
        <v>10</v>
      </c>
      <c r="C10" s="1">
        <f t="shared" si="0"/>
        <v>16</v>
      </c>
      <c r="D10" s="1">
        <v>16</v>
      </c>
      <c r="E10" s="2"/>
      <c r="F10" s="2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2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/>
      <c r="T10" s="2"/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2"/>
      <c r="AA10" s="2"/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"/>
      <c r="AH10" s="2"/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2"/>
      <c r="F11" s="2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2"/>
      <c r="M11" s="2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/>
      <c r="T11" s="2"/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/>
      <c r="AA11" s="2"/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"/>
      <c r="AH11" s="2"/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2"/>
      <c r="F12" s="2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"/>
      <c r="M12" s="2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/>
      <c r="T12" s="2"/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2"/>
      <c r="AA12" s="2"/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"/>
      <c r="AH12" s="2"/>
    </row>
    <row r="13" spans="1:34">
      <c r="A13" s="1">
        <v>11</v>
      </c>
      <c r="B13" s="1" t="s">
        <v>13</v>
      </c>
      <c r="C13" s="1">
        <f t="shared" si="0"/>
        <v>8</v>
      </c>
      <c r="D13" s="1">
        <v>0</v>
      </c>
      <c r="E13" s="2"/>
      <c r="F13" s="2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/>
      <c r="M13" s="2"/>
      <c r="N13" s="1">
        <v>0</v>
      </c>
      <c r="O13" s="1">
        <v>0</v>
      </c>
      <c r="P13" s="1">
        <v>0</v>
      </c>
      <c r="Q13" s="1">
        <v>0</v>
      </c>
      <c r="R13" s="1">
        <v>8</v>
      </c>
      <c r="S13" s="2"/>
      <c r="T13" s="2"/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/>
      <c r="AA13" s="2"/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"/>
      <c r="AH13" s="2"/>
    </row>
    <row r="14" spans="1:34">
      <c r="A14" s="1">
        <v>12</v>
      </c>
      <c r="B14" s="1" t="s">
        <v>14</v>
      </c>
      <c r="C14" s="1">
        <f t="shared" si="0"/>
        <v>8</v>
      </c>
      <c r="D14" s="1">
        <v>0</v>
      </c>
      <c r="E14" s="2"/>
      <c r="F14" s="2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/>
      <c r="M14" s="2"/>
      <c r="N14" s="1">
        <v>0</v>
      </c>
      <c r="O14" s="1">
        <v>0</v>
      </c>
      <c r="P14" s="1">
        <v>0</v>
      </c>
      <c r="Q14" s="1">
        <v>8</v>
      </c>
      <c r="R14" s="1">
        <v>0</v>
      </c>
      <c r="S14" s="2"/>
      <c r="T14" s="2"/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2"/>
      <c r="AA14" s="2"/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2"/>
      <c r="AH14" s="2"/>
    </row>
    <row r="15" spans="1:34" ht="16.25" customHeight="1">
      <c r="A15" s="1">
        <v>13</v>
      </c>
      <c r="B15" s="1" t="s">
        <v>16</v>
      </c>
      <c r="C15" s="1">
        <f t="shared" si="0"/>
        <v>0</v>
      </c>
      <c r="D15" s="1">
        <v>0</v>
      </c>
      <c r="E15" s="2"/>
      <c r="F15" s="2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/>
      <c r="M15" s="2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/>
      <c r="T15" s="2"/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2"/>
      <c r="AA15" s="2"/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2"/>
      <c r="AH15" s="2"/>
    </row>
    <row r="16" spans="1:34">
      <c r="A16" s="1">
        <v>14</v>
      </c>
      <c r="B16" s="1" t="s">
        <v>60</v>
      </c>
      <c r="C16" s="1">
        <f t="shared" si="0"/>
        <v>16</v>
      </c>
      <c r="D16" s="1">
        <v>0</v>
      </c>
      <c r="E16" s="2"/>
      <c r="F16" s="2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/>
      <c r="M16" s="2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/>
      <c r="T16" s="2"/>
      <c r="U16" s="1">
        <v>16</v>
      </c>
      <c r="V16" s="1">
        <v>0</v>
      </c>
      <c r="W16" s="1">
        <v>0</v>
      </c>
      <c r="X16" s="1">
        <v>0</v>
      </c>
      <c r="Y16" s="1">
        <v>0</v>
      </c>
      <c r="Z16" s="2"/>
      <c r="AA16" s="2"/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"/>
      <c r="AH16" s="2"/>
    </row>
    <row r="17" spans="1:34">
      <c r="A17" s="1">
        <v>15</v>
      </c>
      <c r="B17" s="1" t="s">
        <v>66</v>
      </c>
      <c r="C17" s="1">
        <f t="shared" si="0"/>
        <v>5</v>
      </c>
      <c r="D17" s="1">
        <v>5</v>
      </c>
      <c r="E17" s="2"/>
      <c r="F17" s="2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/>
      <c r="M17" s="2"/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/>
      <c r="T17" s="2"/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2"/>
      <c r="AA17" s="2"/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"/>
      <c r="AH17" s="2"/>
    </row>
    <row r="18" spans="1:34">
      <c r="A18" s="1">
        <v>16</v>
      </c>
      <c r="B18" s="1" t="s">
        <v>87</v>
      </c>
      <c r="C18" s="1">
        <f t="shared" si="0"/>
        <v>0</v>
      </c>
      <c r="D18" s="1">
        <v>0</v>
      </c>
      <c r="E18" s="2"/>
      <c r="F18" s="2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/>
      <c r="M18" s="2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/>
      <c r="T18" s="2"/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2"/>
      <c r="AA18" s="2"/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"/>
      <c r="AH18" s="2"/>
    </row>
    <row r="19" spans="1:34">
      <c r="A19" s="1">
        <v>17</v>
      </c>
      <c r="B19" s="1" t="s">
        <v>104</v>
      </c>
      <c r="C19" s="1">
        <f t="shared" si="0"/>
        <v>0</v>
      </c>
      <c r="D19" s="1">
        <v>0</v>
      </c>
      <c r="E19" s="2"/>
      <c r="F19" s="2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/>
      <c r="M19" s="2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/>
      <c r="T19" s="2"/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2"/>
      <c r="AA19" s="2"/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2"/>
      <c r="AH19" s="2"/>
    </row>
    <row r="20" spans="1:34">
      <c r="A20" s="1">
        <v>18</v>
      </c>
      <c r="B20" s="1" t="s">
        <v>139</v>
      </c>
      <c r="C20" s="1">
        <f t="shared" si="0"/>
        <v>0</v>
      </c>
      <c r="D20" s="1">
        <v>0</v>
      </c>
      <c r="E20" s="2"/>
      <c r="F20" s="2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"/>
      <c r="M20" s="2"/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2"/>
      <c r="T20" s="2"/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2"/>
      <c r="AA20" s="2"/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2"/>
      <c r="AH20" s="2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20">
    <cfRule type="duplicateValues" dxfId="21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AH24"/>
  <sheetViews>
    <sheetView zoomScale="85" zoomScaleNormal="85" workbookViewId="0">
      <selection activeCell="AM17" sqref="AM17"/>
    </sheetView>
  </sheetViews>
  <sheetFormatPr baseColWidth="10" defaultColWidth="8.83203125" defaultRowHeight="15"/>
  <cols>
    <col min="3" max="3" width="15.33203125" customWidth="1"/>
    <col min="4" max="17" width="8.83203125" hidden="1" customWidth="1"/>
    <col min="18" max="18" width="7.83203125" hidden="1" customWidth="1"/>
    <col min="19" max="21" width="8.83203125" hidden="1" customWidth="1"/>
    <col min="22" max="34" width="8.83203125" customWidth="1"/>
    <col min="35" max="35" width="0" hidden="1" customWidth="1"/>
  </cols>
  <sheetData>
    <row r="1" spans="1:34" ht="27">
      <c r="A1" s="73" t="s">
        <v>19</v>
      </c>
      <c r="B1" s="73"/>
      <c r="C1" s="64" t="s">
        <v>57</v>
      </c>
      <c r="D1" s="68">
        <v>45505</v>
      </c>
      <c r="E1" s="68">
        <v>45506</v>
      </c>
      <c r="F1" s="68">
        <v>45507</v>
      </c>
      <c r="G1" s="68">
        <v>45508</v>
      </c>
      <c r="H1" s="68">
        <v>45509</v>
      </c>
      <c r="I1" s="68">
        <v>45510</v>
      </c>
      <c r="J1" s="68">
        <v>45511</v>
      </c>
      <c r="K1" s="68">
        <v>45512</v>
      </c>
      <c r="L1" s="68">
        <v>45513</v>
      </c>
      <c r="M1" s="68">
        <v>45514</v>
      </c>
      <c r="N1" s="68">
        <v>45515</v>
      </c>
      <c r="O1" s="68">
        <v>45516</v>
      </c>
      <c r="P1" s="68">
        <v>45517</v>
      </c>
      <c r="Q1" s="68">
        <v>45518</v>
      </c>
      <c r="R1" s="68">
        <v>45519</v>
      </c>
      <c r="S1" s="68">
        <v>45520</v>
      </c>
      <c r="T1" s="68">
        <v>45521</v>
      </c>
      <c r="U1" s="68">
        <v>45522</v>
      </c>
      <c r="V1" s="68">
        <v>45523</v>
      </c>
      <c r="W1" s="68">
        <v>45524</v>
      </c>
      <c r="X1" s="68">
        <v>45525</v>
      </c>
      <c r="Y1" s="68">
        <v>45526</v>
      </c>
      <c r="Z1" s="68">
        <v>45527</v>
      </c>
      <c r="AA1" s="68">
        <v>45528</v>
      </c>
      <c r="AB1" s="68">
        <v>45529</v>
      </c>
      <c r="AC1" s="68">
        <v>45530</v>
      </c>
      <c r="AD1" s="68">
        <v>45531</v>
      </c>
      <c r="AE1" s="68">
        <v>45532</v>
      </c>
      <c r="AF1" s="68">
        <v>45533</v>
      </c>
      <c r="AG1" s="68">
        <v>45534</v>
      </c>
      <c r="AH1" s="68">
        <v>45535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2"/>
      <c r="F3" s="2"/>
      <c r="G3" s="1">
        <v>0</v>
      </c>
      <c r="H3" s="1">
        <v>0</v>
      </c>
      <c r="I3" s="1">
        <v>0</v>
      </c>
      <c r="J3" s="1">
        <v>0</v>
      </c>
      <c r="K3" s="1">
        <v>0</v>
      </c>
      <c r="L3" s="2"/>
      <c r="M3" s="2"/>
      <c r="N3" s="1">
        <v>0</v>
      </c>
      <c r="O3" s="1">
        <v>0</v>
      </c>
      <c r="P3" s="1">
        <v>0</v>
      </c>
      <c r="Q3" s="1">
        <v>0</v>
      </c>
      <c r="R3" s="1">
        <v>0</v>
      </c>
      <c r="S3" s="2"/>
      <c r="T3" s="2"/>
      <c r="U3" s="1">
        <v>0</v>
      </c>
      <c r="V3" s="1">
        <v>0</v>
      </c>
      <c r="W3" s="1">
        <v>0</v>
      </c>
      <c r="X3" s="1">
        <v>0</v>
      </c>
      <c r="Y3" s="1">
        <v>0</v>
      </c>
      <c r="Z3" s="2"/>
      <c r="AA3" s="2"/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2"/>
      <c r="AH3" s="2"/>
    </row>
    <row r="4" spans="1:34">
      <c r="A4" s="1">
        <v>2</v>
      </c>
      <c r="B4" s="1" t="s">
        <v>4</v>
      </c>
      <c r="C4" s="1">
        <f t="shared" ref="C4:C20" si="0">SUM(D4:AH4)</f>
        <v>0</v>
      </c>
      <c r="D4" s="1">
        <v>0</v>
      </c>
      <c r="E4" s="2"/>
      <c r="F4" s="2"/>
      <c r="G4" s="1">
        <v>0</v>
      </c>
      <c r="H4" s="1">
        <v>0</v>
      </c>
      <c r="I4" s="1">
        <v>0</v>
      </c>
      <c r="J4" s="1">
        <v>0</v>
      </c>
      <c r="K4" s="1">
        <v>0</v>
      </c>
      <c r="L4" s="2"/>
      <c r="M4" s="2"/>
      <c r="N4" s="1">
        <v>0</v>
      </c>
      <c r="O4" s="1">
        <v>0</v>
      </c>
      <c r="P4" s="1">
        <v>0</v>
      </c>
      <c r="Q4" s="1">
        <v>0</v>
      </c>
      <c r="R4" s="1">
        <v>0</v>
      </c>
      <c r="S4" s="2"/>
      <c r="T4" s="2"/>
      <c r="U4" s="1">
        <v>0</v>
      </c>
      <c r="V4" s="1">
        <v>0</v>
      </c>
      <c r="W4" s="1">
        <v>0</v>
      </c>
      <c r="X4" s="1">
        <v>0</v>
      </c>
      <c r="Y4" s="1">
        <v>0</v>
      </c>
      <c r="Z4" s="2"/>
      <c r="AA4" s="2"/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2"/>
      <c r="AH4" s="2"/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2"/>
      <c r="F5" s="2"/>
      <c r="G5" s="1">
        <v>0</v>
      </c>
      <c r="H5" s="1">
        <v>0</v>
      </c>
      <c r="I5" s="1">
        <v>0</v>
      </c>
      <c r="J5" s="1">
        <v>0</v>
      </c>
      <c r="K5" s="1">
        <v>0</v>
      </c>
      <c r="L5" s="2"/>
      <c r="M5" s="2"/>
      <c r="N5" s="1">
        <v>0</v>
      </c>
      <c r="O5" s="1">
        <v>0</v>
      </c>
      <c r="P5" s="1">
        <v>0</v>
      </c>
      <c r="Q5" s="1">
        <v>0</v>
      </c>
      <c r="R5" s="1">
        <v>0</v>
      </c>
      <c r="S5" s="2"/>
      <c r="T5" s="2"/>
      <c r="U5" s="1">
        <v>0</v>
      </c>
      <c r="V5" s="1">
        <v>0</v>
      </c>
      <c r="W5" s="1">
        <v>0</v>
      </c>
      <c r="X5" s="1">
        <v>0</v>
      </c>
      <c r="Y5" s="1">
        <v>0</v>
      </c>
      <c r="Z5" s="2"/>
      <c r="AA5" s="2"/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"/>
      <c r="AH5" s="2"/>
    </row>
    <row r="6" spans="1:34">
      <c r="A6" s="1">
        <v>4</v>
      </c>
      <c r="B6" s="1" t="s">
        <v>6</v>
      </c>
      <c r="C6" s="1">
        <f t="shared" si="0"/>
        <v>27</v>
      </c>
      <c r="D6" s="1">
        <v>0</v>
      </c>
      <c r="E6" s="2"/>
      <c r="F6" s="2"/>
      <c r="G6" s="1">
        <v>0</v>
      </c>
      <c r="H6" s="1">
        <v>0</v>
      </c>
      <c r="I6" s="1">
        <v>1</v>
      </c>
      <c r="J6" s="1">
        <v>2</v>
      </c>
      <c r="K6" s="1">
        <v>0</v>
      </c>
      <c r="L6" s="2"/>
      <c r="M6" s="2"/>
      <c r="N6" s="1">
        <v>2</v>
      </c>
      <c r="O6" s="1">
        <v>3</v>
      </c>
      <c r="P6" s="1">
        <v>0</v>
      </c>
      <c r="Q6" s="1">
        <v>0</v>
      </c>
      <c r="R6" s="1">
        <v>0</v>
      </c>
      <c r="S6" s="2"/>
      <c r="T6" s="2"/>
      <c r="U6" s="1">
        <v>0</v>
      </c>
      <c r="V6" s="1">
        <v>3</v>
      </c>
      <c r="W6" s="1">
        <v>3</v>
      </c>
      <c r="X6" s="1">
        <v>3</v>
      </c>
      <c r="Y6" s="1">
        <v>3</v>
      </c>
      <c r="Z6" s="2"/>
      <c r="AA6" s="2"/>
      <c r="AB6" s="1">
        <v>0</v>
      </c>
      <c r="AC6" s="1">
        <v>3</v>
      </c>
      <c r="AD6" s="1">
        <v>0</v>
      </c>
      <c r="AE6" s="1">
        <v>3</v>
      </c>
      <c r="AF6" s="1">
        <v>1</v>
      </c>
      <c r="AG6" s="2"/>
      <c r="AH6" s="2"/>
    </row>
    <row r="7" spans="1:34">
      <c r="A7" s="1">
        <v>5</v>
      </c>
      <c r="B7" s="1" t="s">
        <v>7</v>
      </c>
      <c r="C7" s="1">
        <f t="shared" si="0"/>
        <v>38</v>
      </c>
      <c r="D7" s="1">
        <v>0</v>
      </c>
      <c r="E7" s="2"/>
      <c r="F7" s="2"/>
      <c r="G7" s="1">
        <v>0</v>
      </c>
      <c r="H7" s="1">
        <v>0</v>
      </c>
      <c r="I7" s="1">
        <v>0</v>
      </c>
      <c r="J7" s="1">
        <v>0</v>
      </c>
      <c r="K7" s="1">
        <v>0</v>
      </c>
      <c r="L7" s="2"/>
      <c r="M7" s="2"/>
      <c r="N7" s="1">
        <v>0</v>
      </c>
      <c r="O7" s="1">
        <v>0</v>
      </c>
      <c r="P7" s="1">
        <v>0</v>
      </c>
      <c r="Q7" s="1">
        <v>0</v>
      </c>
      <c r="R7" s="1">
        <v>0</v>
      </c>
      <c r="S7" s="2"/>
      <c r="T7" s="2"/>
      <c r="U7" s="1">
        <v>6</v>
      </c>
      <c r="V7" s="34">
        <v>8</v>
      </c>
      <c r="W7" s="34">
        <v>4</v>
      </c>
      <c r="X7" s="1">
        <v>0</v>
      </c>
      <c r="Y7" s="34">
        <v>4</v>
      </c>
      <c r="Z7" s="2"/>
      <c r="AA7" s="2"/>
      <c r="AB7" s="34">
        <v>4</v>
      </c>
      <c r="AC7" s="34">
        <v>4</v>
      </c>
      <c r="AD7" s="36">
        <v>0</v>
      </c>
      <c r="AE7" s="34">
        <v>4</v>
      </c>
      <c r="AF7" s="34">
        <v>4</v>
      </c>
      <c r="AG7" s="2"/>
      <c r="AH7" s="2"/>
    </row>
    <row r="8" spans="1:34">
      <c r="A8" s="1">
        <v>6</v>
      </c>
      <c r="B8" s="1" t="s">
        <v>8</v>
      </c>
      <c r="C8" s="1">
        <f t="shared" si="0"/>
        <v>45</v>
      </c>
      <c r="D8" s="1">
        <v>0</v>
      </c>
      <c r="E8" s="2"/>
      <c r="F8" s="2"/>
      <c r="G8" s="1">
        <v>0</v>
      </c>
      <c r="H8" s="1">
        <v>0</v>
      </c>
      <c r="I8" s="1">
        <v>0</v>
      </c>
      <c r="J8" s="1">
        <v>0</v>
      </c>
      <c r="K8" s="1">
        <v>0</v>
      </c>
      <c r="L8" s="2"/>
      <c r="M8" s="2"/>
      <c r="N8" s="1">
        <v>0</v>
      </c>
      <c r="O8" s="1">
        <v>2</v>
      </c>
      <c r="P8" s="1">
        <v>0</v>
      </c>
      <c r="Q8" s="1">
        <v>4</v>
      </c>
      <c r="R8" s="1">
        <v>0</v>
      </c>
      <c r="S8" s="2"/>
      <c r="T8" s="10">
        <v>1</v>
      </c>
      <c r="U8" s="1">
        <v>4</v>
      </c>
      <c r="V8" s="34">
        <v>4</v>
      </c>
      <c r="W8" s="34">
        <v>5</v>
      </c>
      <c r="X8" s="34">
        <v>4</v>
      </c>
      <c r="Y8" s="34">
        <v>3</v>
      </c>
      <c r="Z8" s="2"/>
      <c r="AA8" s="10">
        <v>2</v>
      </c>
      <c r="AB8" s="34">
        <v>4</v>
      </c>
      <c r="AC8" s="34">
        <v>4</v>
      </c>
      <c r="AD8" s="36">
        <v>0</v>
      </c>
      <c r="AE8" s="34">
        <v>4</v>
      </c>
      <c r="AF8" s="34">
        <v>4</v>
      </c>
      <c r="AG8" s="2"/>
      <c r="AH8" s="2"/>
    </row>
    <row r="9" spans="1:34">
      <c r="A9" s="1">
        <v>7</v>
      </c>
      <c r="B9" s="1" t="s">
        <v>9</v>
      </c>
      <c r="C9" s="1">
        <f t="shared" si="0"/>
        <v>26</v>
      </c>
      <c r="D9" s="1">
        <v>1</v>
      </c>
      <c r="E9" s="2"/>
      <c r="F9" s="2"/>
      <c r="G9" s="1">
        <v>3</v>
      </c>
      <c r="H9" s="1">
        <v>3</v>
      </c>
      <c r="I9" s="1">
        <v>0</v>
      </c>
      <c r="J9" s="1">
        <v>3</v>
      </c>
      <c r="K9" s="1">
        <v>0</v>
      </c>
      <c r="L9" s="2"/>
      <c r="M9" s="2"/>
      <c r="N9" s="1">
        <v>3</v>
      </c>
      <c r="O9" s="1">
        <v>3</v>
      </c>
      <c r="P9" s="1">
        <v>0</v>
      </c>
      <c r="Q9" s="1">
        <v>0</v>
      </c>
      <c r="R9" s="1">
        <v>0</v>
      </c>
      <c r="S9" s="2"/>
      <c r="T9" s="2"/>
      <c r="U9" s="1">
        <v>3</v>
      </c>
      <c r="V9" s="1">
        <v>3</v>
      </c>
      <c r="W9" s="1">
        <v>0</v>
      </c>
      <c r="X9" s="1">
        <v>0</v>
      </c>
      <c r="Y9" s="1">
        <v>0</v>
      </c>
      <c r="Z9" s="2"/>
      <c r="AA9" s="2"/>
      <c r="AB9" s="1">
        <v>0</v>
      </c>
      <c r="AC9" s="1">
        <v>0</v>
      </c>
      <c r="AD9" s="1">
        <v>0</v>
      </c>
      <c r="AE9" s="1">
        <v>3</v>
      </c>
      <c r="AF9" s="1">
        <v>1</v>
      </c>
      <c r="AG9" s="2"/>
      <c r="AH9" s="2"/>
    </row>
    <row r="10" spans="1:34">
      <c r="A10" s="1">
        <v>8</v>
      </c>
      <c r="B10" s="1" t="s">
        <v>10</v>
      </c>
      <c r="C10" s="1">
        <f t="shared" si="0"/>
        <v>22</v>
      </c>
      <c r="D10" s="1">
        <v>0</v>
      </c>
      <c r="E10" s="2"/>
      <c r="F10" s="2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2"/>
      <c r="M10" s="2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/>
      <c r="T10" s="2"/>
      <c r="U10" s="1">
        <v>0</v>
      </c>
      <c r="V10" s="1">
        <v>0</v>
      </c>
      <c r="W10" s="34">
        <v>4</v>
      </c>
      <c r="X10" s="34">
        <v>4</v>
      </c>
      <c r="Y10" s="1">
        <v>0</v>
      </c>
      <c r="Z10" s="2"/>
      <c r="AA10" s="10">
        <v>2</v>
      </c>
      <c r="AB10" s="34">
        <v>4</v>
      </c>
      <c r="AC10" s="34">
        <v>4</v>
      </c>
      <c r="AD10" s="34">
        <v>4</v>
      </c>
      <c r="AE10" s="1">
        <v>0</v>
      </c>
      <c r="AF10" s="1">
        <v>0</v>
      </c>
      <c r="AG10" s="2"/>
      <c r="AH10" s="2"/>
    </row>
    <row r="11" spans="1:34">
      <c r="A11" s="1">
        <v>9</v>
      </c>
      <c r="B11" s="1" t="s">
        <v>11</v>
      </c>
      <c r="C11" s="1">
        <f t="shared" si="0"/>
        <v>57</v>
      </c>
      <c r="D11" s="1">
        <v>2</v>
      </c>
      <c r="E11" s="2"/>
      <c r="F11" s="2"/>
      <c r="G11" s="1">
        <v>1</v>
      </c>
      <c r="H11" s="1">
        <v>1</v>
      </c>
      <c r="I11" s="1">
        <v>2</v>
      </c>
      <c r="J11" s="1">
        <v>2</v>
      </c>
      <c r="K11" s="1">
        <v>2</v>
      </c>
      <c r="L11" s="2"/>
      <c r="M11" s="2"/>
      <c r="N11" s="1">
        <v>0</v>
      </c>
      <c r="O11" s="1">
        <v>3</v>
      </c>
      <c r="P11" s="1">
        <v>2</v>
      </c>
      <c r="Q11" s="1">
        <v>2</v>
      </c>
      <c r="R11" s="1">
        <v>0</v>
      </c>
      <c r="S11" s="2"/>
      <c r="T11" s="2"/>
      <c r="U11" s="1">
        <v>6</v>
      </c>
      <c r="V11" s="34">
        <v>8</v>
      </c>
      <c r="W11" s="34">
        <v>4</v>
      </c>
      <c r="X11" s="1">
        <v>0</v>
      </c>
      <c r="Y11" s="34">
        <v>4</v>
      </c>
      <c r="Z11" s="2"/>
      <c r="AA11" s="10">
        <v>2</v>
      </c>
      <c r="AB11" s="34">
        <v>4</v>
      </c>
      <c r="AC11" s="34">
        <v>4</v>
      </c>
      <c r="AD11" s="1">
        <v>0</v>
      </c>
      <c r="AE11" s="34">
        <v>4</v>
      </c>
      <c r="AF11" s="34">
        <v>4</v>
      </c>
      <c r="AG11" s="2"/>
      <c r="AH11" s="2"/>
    </row>
    <row r="12" spans="1:34">
      <c r="A12" s="1">
        <v>10</v>
      </c>
      <c r="B12" s="1" t="s">
        <v>12</v>
      </c>
      <c r="C12" s="1">
        <f t="shared" si="0"/>
        <v>39</v>
      </c>
      <c r="D12" s="1">
        <v>0</v>
      </c>
      <c r="E12" s="2"/>
      <c r="F12" s="2"/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2"/>
      <c r="M12" s="2"/>
      <c r="N12" s="1">
        <v>2</v>
      </c>
      <c r="O12" s="1">
        <v>2</v>
      </c>
      <c r="P12" s="1">
        <v>2</v>
      </c>
      <c r="Q12" s="1">
        <v>2</v>
      </c>
      <c r="R12" s="1">
        <v>9</v>
      </c>
      <c r="S12" s="2"/>
      <c r="T12" s="2"/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2"/>
      <c r="AA12" s="2"/>
      <c r="AB12" s="1">
        <v>2</v>
      </c>
      <c r="AC12" s="1">
        <v>0</v>
      </c>
      <c r="AD12" s="1">
        <v>0</v>
      </c>
      <c r="AE12" s="1">
        <v>0</v>
      </c>
      <c r="AF12" s="1">
        <v>0</v>
      </c>
      <c r="AG12" s="2"/>
      <c r="AH12" s="2"/>
    </row>
    <row r="13" spans="1:34">
      <c r="A13" s="1">
        <v>11</v>
      </c>
      <c r="B13" s="1" t="s">
        <v>13</v>
      </c>
      <c r="C13" s="1">
        <f t="shared" si="0"/>
        <v>48</v>
      </c>
      <c r="D13" s="1">
        <v>0</v>
      </c>
      <c r="E13" s="2"/>
      <c r="F13" s="2"/>
      <c r="G13" s="1">
        <v>1</v>
      </c>
      <c r="H13" s="1">
        <v>0</v>
      </c>
      <c r="I13" s="1">
        <v>1</v>
      </c>
      <c r="J13" s="1">
        <v>1</v>
      </c>
      <c r="K13" s="1">
        <v>0</v>
      </c>
      <c r="L13" s="2"/>
      <c r="M13" s="2"/>
      <c r="N13" s="1">
        <v>1</v>
      </c>
      <c r="O13" s="1">
        <v>1</v>
      </c>
      <c r="P13" s="1">
        <v>0</v>
      </c>
      <c r="Q13" s="1">
        <v>1</v>
      </c>
      <c r="R13" s="1">
        <v>0</v>
      </c>
      <c r="S13" s="2"/>
      <c r="T13" s="2"/>
      <c r="U13" s="1">
        <v>0</v>
      </c>
      <c r="V13" s="34">
        <v>8</v>
      </c>
      <c r="W13" s="34">
        <v>4</v>
      </c>
      <c r="X13" s="34">
        <v>4</v>
      </c>
      <c r="Y13" s="34">
        <v>4</v>
      </c>
      <c r="Z13" s="2"/>
      <c r="AA13" s="10">
        <v>2</v>
      </c>
      <c r="AB13" s="34">
        <v>4</v>
      </c>
      <c r="AC13" s="34">
        <v>4</v>
      </c>
      <c r="AD13" s="34">
        <v>4</v>
      </c>
      <c r="AE13" s="34">
        <v>4</v>
      </c>
      <c r="AF13" s="34">
        <v>4</v>
      </c>
      <c r="AG13" s="2"/>
      <c r="AH13" s="2"/>
    </row>
    <row r="14" spans="1:34">
      <c r="A14" s="1">
        <v>12</v>
      </c>
      <c r="B14" s="1" t="s">
        <v>14</v>
      </c>
      <c r="C14" s="1">
        <f t="shared" si="0"/>
        <v>48</v>
      </c>
      <c r="D14" s="1">
        <v>0</v>
      </c>
      <c r="E14" s="2"/>
      <c r="F14" s="2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2"/>
      <c r="M14" s="2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/>
      <c r="T14" s="2"/>
      <c r="U14" s="1">
        <v>6</v>
      </c>
      <c r="V14" s="34">
        <v>8</v>
      </c>
      <c r="W14" s="34">
        <v>4</v>
      </c>
      <c r="X14" s="34">
        <v>4</v>
      </c>
      <c r="Y14" s="34">
        <v>4</v>
      </c>
      <c r="Z14" s="2"/>
      <c r="AA14" s="10">
        <v>2</v>
      </c>
      <c r="AB14" s="34">
        <v>4</v>
      </c>
      <c r="AC14" s="34">
        <v>4</v>
      </c>
      <c r="AD14" s="34">
        <v>4</v>
      </c>
      <c r="AE14" s="34">
        <v>4</v>
      </c>
      <c r="AF14" s="34">
        <v>4</v>
      </c>
      <c r="AG14" s="2"/>
      <c r="AH14" s="2"/>
    </row>
    <row r="15" spans="1:34" ht="16.25" customHeight="1">
      <c r="A15" s="1">
        <v>13</v>
      </c>
      <c r="B15" s="1" t="s">
        <v>16</v>
      </c>
      <c r="C15" s="1">
        <f t="shared" si="0"/>
        <v>76</v>
      </c>
      <c r="D15" s="1">
        <v>0</v>
      </c>
      <c r="E15" s="2"/>
      <c r="F15" s="2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2"/>
      <c r="M15" s="2"/>
      <c r="N15" s="1">
        <v>0</v>
      </c>
      <c r="O15" s="1">
        <v>2</v>
      </c>
      <c r="P15" s="1">
        <v>0</v>
      </c>
      <c r="Q15" s="1">
        <v>4</v>
      </c>
      <c r="R15" s="1">
        <v>0</v>
      </c>
      <c r="S15" s="2"/>
      <c r="T15" s="2"/>
      <c r="U15" s="1">
        <v>4</v>
      </c>
      <c r="V15" s="34">
        <v>8</v>
      </c>
      <c r="W15" s="34">
        <v>8</v>
      </c>
      <c r="X15" s="34">
        <v>10</v>
      </c>
      <c r="Y15" s="34">
        <v>10</v>
      </c>
      <c r="Z15" s="2"/>
      <c r="AA15" s="10">
        <v>2</v>
      </c>
      <c r="AB15" s="34">
        <v>4</v>
      </c>
      <c r="AC15" s="34">
        <v>6</v>
      </c>
      <c r="AD15" s="34">
        <v>5</v>
      </c>
      <c r="AE15" s="34">
        <v>4</v>
      </c>
      <c r="AF15" s="34">
        <v>9</v>
      </c>
      <c r="AG15" s="2"/>
      <c r="AH15" s="2"/>
    </row>
    <row r="16" spans="1:34">
      <c r="A16" s="1">
        <v>14</v>
      </c>
      <c r="B16" s="1" t="s">
        <v>60</v>
      </c>
      <c r="C16" s="1">
        <f t="shared" si="0"/>
        <v>0</v>
      </c>
      <c r="D16" s="1">
        <v>0</v>
      </c>
      <c r="E16" s="2"/>
      <c r="F16" s="2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"/>
      <c r="M16" s="2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/>
      <c r="T16" s="2"/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2"/>
      <c r="AA16" s="2"/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"/>
      <c r="AH16" s="2"/>
    </row>
    <row r="17" spans="1:34">
      <c r="A17" s="1">
        <v>15</v>
      </c>
      <c r="B17" s="1" t="s">
        <v>66</v>
      </c>
      <c r="C17" s="1">
        <f t="shared" si="0"/>
        <v>0</v>
      </c>
      <c r="D17" s="1">
        <v>0</v>
      </c>
      <c r="E17" s="2"/>
      <c r="F17" s="2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2"/>
      <c r="M17" s="2"/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/>
      <c r="T17" s="2"/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2"/>
      <c r="AA17" s="2"/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"/>
      <c r="AH17" s="2"/>
    </row>
    <row r="18" spans="1:34">
      <c r="A18" s="1">
        <v>16</v>
      </c>
      <c r="B18" s="1" t="s">
        <v>87</v>
      </c>
      <c r="C18" s="1">
        <f t="shared" si="0"/>
        <v>0</v>
      </c>
      <c r="D18" s="1">
        <v>0</v>
      </c>
      <c r="E18" s="2"/>
      <c r="F18" s="2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"/>
      <c r="M18" s="2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/>
      <c r="T18" s="2"/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2"/>
      <c r="AA18" s="2"/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"/>
      <c r="AH18" s="2"/>
    </row>
    <row r="19" spans="1:34">
      <c r="A19" s="1">
        <v>17</v>
      </c>
      <c r="B19" s="1" t="s">
        <v>104</v>
      </c>
      <c r="C19" s="1">
        <f t="shared" si="0"/>
        <v>4</v>
      </c>
      <c r="D19" s="1">
        <v>0</v>
      </c>
      <c r="E19" s="2"/>
      <c r="F19" s="2"/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2">
        <v>2</v>
      </c>
      <c r="M19" s="2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/>
      <c r="T19" s="2"/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2"/>
      <c r="AA19" s="2"/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2"/>
      <c r="AH19" s="2"/>
    </row>
    <row r="20" spans="1:34">
      <c r="A20" s="1">
        <v>18</v>
      </c>
      <c r="B20" s="1" t="s">
        <v>139</v>
      </c>
      <c r="C20" s="1">
        <f t="shared" si="0"/>
        <v>36</v>
      </c>
      <c r="D20" s="1">
        <v>0</v>
      </c>
      <c r="E20" s="2"/>
      <c r="F20" s="2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"/>
      <c r="M20" s="2"/>
      <c r="N20" s="1">
        <v>0</v>
      </c>
      <c r="O20" s="1">
        <v>2</v>
      </c>
      <c r="P20" s="1">
        <v>0</v>
      </c>
      <c r="Q20" s="1">
        <v>0</v>
      </c>
      <c r="R20" s="1">
        <v>0</v>
      </c>
      <c r="S20" s="2"/>
      <c r="T20" s="2"/>
      <c r="U20" s="1">
        <v>0</v>
      </c>
      <c r="V20" s="34">
        <v>8</v>
      </c>
      <c r="W20" s="34">
        <v>4</v>
      </c>
      <c r="X20" s="34">
        <v>4</v>
      </c>
      <c r="Y20" s="1">
        <v>0</v>
      </c>
      <c r="Z20" s="2"/>
      <c r="AA20" s="10">
        <v>2</v>
      </c>
      <c r="AB20" s="34">
        <v>4</v>
      </c>
      <c r="AC20" s="34">
        <v>4</v>
      </c>
      <c r="AD20" s="34">
        <v>4</v>
      </c>
      <c r="AE20" s="34">
        <v>4</v>
      </c>
      <c r="AF20" s="1">
        <v>0</v>
      </c>
      <c r="AG20" s="2"/>
      <c r="AH20" s="2"/>
    </row>
    <row r="22" spans="1:34">
      <c r="A22" s="35"/>
      <c r="B22" s="55" t="s">
        <v>141</v>
      </c>
      <c r="C22" s="55"/>
    </row>
    <row r="23" spans="1:34">
      <c r="A23" t="s">
        <v>142</v>
      </c>
    </row>
    <row r="24" spans="1:34">
      <c r="A24" t="s">
        <v>143</v>
      </c>
    </row>
  </sheetData>
  <mergeCells count="34">
    <mergeCell ref="U1:U2"/>
    <mergeCell ref="J1:J2"/>
    <mergeCell ref="K1:K2"/>
    <mergeCell ref="L1:L2"/>
    <mergeCell ref="S1:S2"/>
    <mergeCell ref="T1:T2"/>
    <mergeCell ref="E1:E2"/>
    <mergeCell ref="F1:F2"/>
    <mergeCell ref="G1:G2"/>
    <mergeCell ref="H1:H2"/>
    <mergeCell ref="I1:I2"/>
    <mergeCell ref="V1:V2"/>
    <mergeCell ref="W1:W2"/>
    <mergeCell ref="B22:C22"/>
    <mergeCell ref="AF1:AF2"/>
    <mergeCell ref="AG1:AG2"/>
    <mergeCell ref="Y1:Y2"/>
    <mergeCell ref="N1:N2"/>
    <mergeCell ref="O1:O2"/>
    <mergeCell ref="P1:P2"/>
    <mergeCell ref="Q1:Q2"/>
    <mergeCell ref="R1:R2"/>
    <mergeCell ref="X1:X2"/>
    <mergeCell ref="M1:M2"/>
    <mergeCell ref="A1:B1"/>
    <mergeCell ref="C1:C2"/>
    <mergeCell ref="D1:D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20 B22">
    <cfRule type="duplicateValues" dxfId="20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31"/>
  <sheetViews>
    <sheetView topLeftCell="E1" zoomScaleNormal="100" workbookViewId="0">
      <selection activeCell="V24" sqref="V24"/>
    </sheetView>
  </sheetViews>
  <sheetFormatPr baseColWidth="10" defaultColWidth="8.83203125" defaultRowHeight="15"/>
  <cols>
    <col min="3" max="32" width="8.83203125" customWidth="1"/>
    <col min="33" max="33" width="12.1640625" hidden="1" customWidth="1"/>
  </cols>
  <sheetData>
    <row r="1" spans="1:33" ht="27">
      <c r="A1" s="70" t="s">
        <v>0</v>
      </c>
      <c r="B1" s="70"/>
      <c r="C1" s="68">
        <v>45536</v>
      </c>
      <c r="D1" s="68">
        <v>45537</v>
      </c>
      <c r="E1" s="68">
        <v>45538</v>
      </c>
      <c r="F1" s="68">
        <v>45539</v>
      </c>
      <c r="G1" s="68">
        <v>45540</v>
      </c>
      <c r="H1" s="68">
        <v>45541</v>
      </c>
      <c r="I1" s="68">
        <v>45542</v>
      </c>
      <c r="J1" s="68">
        <v>45543</v>
      </c>
      <c r="K1" s="68">
        <v>45544</v>
      </c>
      <c r="L1" s="68">
        <v>45545</v>
      </c>
      <c r="M1" s="68">
        <v>45546</v>
      </c>
      <c r="N1" s="68">
        <v>45547</v>
      </c>
      <c r="O1" s="68">
        <v>45548</v>
      </c>
      <c r="P1" s="68">
        <v>45549</v>
      </c>
      <c r="Q1" s="68">
        <v>45550</v>
      </c>
      <c r="R1" s="68">
        <v>45551</v>
      </c>
      <c r="S1" s="68">
        <v>45552</v>
      </c>
      <c r="T1" s="68">
        <v>45553</v>
      </c>
      <c r="U1" s="68">
        <v>45554</v>
      </c>
      <c r="V1" s="68">
        <v>45555</v>
      </c>
      <c r="W1" s="68">
        <v>45556</v>
      </c>
      <c r="X1" s="68">
        <v>45557</v>
      </c>
      <c r="Y1" s="68">
        <v>45558</v>
      </c>
      <c r="Z1" s="68">
        <v>45559</v>
      </c>
      <c r="AA1" s="68">
        <v>45560</v>
      </c>
      <c r="AB1" s="68">
        <v>45561</v>
      </c>
      <c r="AC1" s="68">
        <v>45562</v>
      </c>
      <c r="AD1" s="68">
        <v>45563</v>
      </c>
      <c r="AE1" s="68">
        <v>45564</v>
      </c>
      <c r="AF1" s="68">
        <v>45565</v>
      </c>
      <c r="AG1" s="68"/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18">
      <c r="A3" s="1">
        <v>1</v>
      </c>
      <c r="B3" s="1" t="s">
        <v>3</v>
      </c>
      <c r="C3" s="17" t="s">
        <v>92</v>
      </c>
      <c r="D3" s="17" t="s">
        <v>92</v>
      </c>
      <c r="E3" s="17" t="s">
        <v>92</v>
      </c>
      <c r="F3" s="17" t="s">
        <v>92</v>
      </c>
      <c r="G3" s="17" t="s">
        <v>92</v>
      </c>
      <c r="H3" s="2"/>
      <c r="I3" s="2"/>
      <c r="J3" s="17" t="s">
        <v>92</v>
      </c>
      <c r="K3" s="17" t="s">
        <v>92</v>
      </c>
      <c r="L3" s="17" t="s">
        <v>92</v>
      </c>
      <c r="M3" s="17" t="s">
        <v>92</v>
      </c>
      <c r="N3" s="17" t="s">
        <v>92</v>
      </c>
      <c r="O3" s="2"/>
      <c r="P3" s="2"/>
      <c r="Q3" s="17" t="s">
        <v>92</v>
      </c>
      <c r="R3" s="17" t="s">
        <v>92</v>
      </c>
      <c r="S3" s="17" t="s">
        <v>92</v>
      </c>
      <c r="T3" s="17" t="s">
        <v>92</v>
      </c>
      <c r="U3" s="17" t="s">
        <v>92</v>
      </c>
      <c r="V3" s="2"/>
      <c r="W3" s="2"/>
      <c r="X3" s="16" t="s">
        <v>25</v>
      </c>
      <c r="Y3" s="16" t="s">
        <v>25</v>
      </c>
      <c r="Z3" s="16" t="s">
        <v>25</v>
      </c>
      <c r="AA3" s="16" t="s">
        <v>25</v>
      </c>
      <c r="AB3" s="16" t="s">
        <v>25</v>
      </c>
      <c r="AC3" s="2"/>
      <c r="AD3" s="2"/>
      <c r="AE3" s="2"/>
      <c r="AF3" s="16" t="s">
        <v>25</v>
      </c>
      <c r="AG3" s="1"/>
    </row>
    <row r="4" spans="1:33" ht="18">
      <c r="A4" s="1">
        <v>2</v>
      </c>
      <c r="B4" s="1" t="s">
        <v>4</v>
      </c>
      <c r="C4" s="16" t="s">
        <v>25</v>
      </c>
      <c r="D4" s="16" t="s">
        <v>25</v>
      </c>
      <c r="E4" s="16" t="s">
        <v>25</v>
      </c>
      <c r="F4" s="16" t="s">
        <v>25</v>
      </c>
      <c r="G4" s="16" t="s">
        <v>25</v>
      </c>
      <c r="H4" s="2"/>
      <c r="I4" s="2"/>
      <c r="J4" s="16" t="s">
        <v>25</v>
      </c>
      <c r="K4" s="16" t="s">
        <v>50</v>
      </c>
      <c r="L4" s="16" t="s">
        <v>25</v>
      </c>
      <c r="M4" s="16" t="s">
        <v>25</v>
      </c>
      <c r="N4" s="16" t="s">
        <v>25</v>
      </c>
      <c r="O4" s="2"/>
      <c r="P4" s="2"/>
      <c r="Q4" s="16" t="s">
        <v>25</v>
      </c>
      <c r="R4" s="16" t="s">
        <v>25</v>
      </c>
      <c r="S4" s="16" t="s">
        <v>25</v>
      </c>
      <c r="T4" s="16" t="s">
        <v>25</v>
      </c>
      <c r="U4" s="16" t="s">
        <v>25</v>
      </c>
      <c r="V4" s="2"/>
      <c r="W4" s="2"/>
      <c r="X4" s="16" t="s">
        <v>25</v>
      </c>
      <c r="Y4" s="16" t="s">
        <v>25</v>
      </c>
      <c r="Z4" s="16" t="s">
        <v>25</v>
      </c>
      <c r="AA4" s="16" t="s">
        <v>25</v>
      </c>
      <c r="AB4" s="16" t="s">
        <v>25</v>
      </c>
      <c r="AC4" s="2"/>
      <c r="AD4" s="2"/>
      <c r="AE4" s="2"/>
      <c r="AF4" s="16" t="s">
        <v>25</v>
      </c>
      <c r="AG4" s="1"/>
    </row>
    <row r="5" spans="1:33" ht="18">
      <c r="A5" s="1">
        <v>3</v>
      </c>
      <c r="B5" s="1" t="s">
        <v>5</v>
      </c>
      <c r="C5" s="16" t="s">
        <v>25</v>
      </c>
      <c r="D5" s="16" t="s">
        <v>25</v>
      </c>
      <c r="E5" s="16" t="s">
        <v>25</v>
      </c>
      <c r="F5" s="16" t="s">
        <v>25</v>
      </c>
      <c r="G5" s="16" t="s">
        <v>25</v>
      </c>
      <c r="H5" s="2"/>
      <c r="I5" s="2"/>
      <c r="J5" s="16" t="s">
        <v>25</v>
      </c>
      <c r="K5" s="16" t="s">
        <v>25</v>
      </c>
      <c r="L5" s="16" t="s">
        <v>25</v>
      </c>
      <c r="M5" s="16" t="s">
        <v>25</v>
      </c>
      <c r="N5" s="16" t="s">
        <v>25</v>
      </c>
      <c r="O5" s="2"/>
      <c r="P5" s="2"/>
      <c r="Q5" s="16" t="s">
        <v>25</v>
      </c>
      <c r="R5" s="16" t="s">
        <v>25</v>
      </c>
      <c r="S5" s="16" t="s">
        <v>25</v>
      </c>
      <c r="T5" s="16" t="s">
        <v>25</v>
      </c>
      <c r="U5" s="16" t="s">
        <v>25</v>
      </c>
      <c r="V5" s="2"/>
      <c r="W5" s="2"/>
      <c r="X5" s="16" t="s">
        <v>25</v>
      </c>
      <c r="Y5" s="4" t="s">
        <v>50</v>
      </c>
      <c r="Z5" s="16" t="s">
        <v>25</v>
      </c>
      <c r="AA5" s="16" t="s">
        <v>25</v>
      </c>
      <c r="AB5" s="16" t="s">
        <v>25</v>
      </c>
      <c r="AC5" s="2"/>
      <c r="AD5" s="2"/>
      <c r="AE5" s="2"/>
      <c r="AF5" s="16" t="s">
        <v>25</v>
      </c>
      <c r="AG5" s="1"/>
    </row>
    <row r="6" spans="1:33" ht="18">
      <c r="A6" s="1">
        <v>4</v>
      </c>
      <c r="B6" s="1" t="s">
        <v>6</v>
      </c>
      <c r="C6" s="17" t="s">
        <v>92</v>
      </c>
      <c r="D6" s="17" t="s">
        <v>92</v>
      </c>
      <c r="E6" s="17" t="s">
        <v>92</v>
      </c>
      <c r="F6" s="17" t="s">
        <v>92</v>
      </c>
      <c r="G6" s="17" t="s">
        <v>92</v>
      </c>
      <c r="H6" s="2"/>
      <c r="I6" s="2"/>
      <c r="J6" s="17" t="s">
        <v>92</v>
      </c>
      <c r="K6" s="17" t="s">
        <v>92</v>
      </c>
      <c r="L6" s="17" t="s">
        <v>92</v>
      </c>
      <c r="M6" s="17" t="s">
        <v>92</v>
      </c>
      <c r="N6" s="17" t="s">
        <v>92</v>
      </c>
      <c r="O6" s="2"/>
      <c r="P6" s="2"/>
      <c r="Q6" s="17" t="s">
        <v>92</v>
      </c>
      <c r="R6" s="17" t="s">
        <v>92</v>
      </c>
      <c r="S6" s="17" t="s">
        <v>92</v>
      </c>
      <c r="T6" s="17" t="s">
        <v>92</v>
      </c>
      <c r="U6" s="17" t="s">
        <v>92</v>
      </c>
      <c r="V6" s="2"/>
      <c r="W6" s="2"/>
      <c r="X6" s="16" t="s">
        <v>25</v>
      </c>
      <c r="Y6" s="16" t="s">
        <v>25</v>
      </c>
      <c r="Z6" s="16" t="s">
        <v>25</v>
      </c>
      <c r="AA6" s="16" t="s">
        <v>25</v>
      </c>
      <c r="AB6" s="16" t="s">
        <v>25</v>
      </c>
      <c r="AC6" s="2"/>
      <c r="AD6" s="2"/>
      <c r="AE6" s="2"/>
      <c r="AF6" s="16" t="s">
        <v>25</v>
      </c>
      <c r="AG6" s="1"/>
    </row>
    <row r="7" spans="1:33">
      <c r="A7" s="1">
        <v>5</v>
      </c>
      <c r="B7" s="1" t="s">
        <v>7</v>
      </c>
      <c r="C7" s="17" t="s">
        <v>92</v>
      </c>
      <c r="D7" s="17" t="s">
        <v>92</v>
      </c>
      <c r="E7" s="17" t="s">
        <v>92</v>
      </c>
      <c r="F7" s="17" t="s">
        <v>92</v>
      </c>
      <c r="G7" s="17" t="s">
        <v>92</v>
      </c>
      <c r="H7" s="2"/>
      <c r="I7" s="2"/>
      <c r="J7" s="17" t="s">
        <v>92</v>
      </c>
      <c r="K7" s="17" t="s">
        <v>92</v>
      </c>
      <c r="L7" s="17" t="s">
        <v>92</v>
      </c>
      <c r="M7" s="17" t="s">
        <v>92</v>
      </c>
      <c r="N7" s="17" t="s">
        <v>92</v>
      </c>
      <c r="O7" s="2"/>
      <c r="P7" s="2"/>
      <c r="Q7" s="17" t="s">
        <v>92</v>
      </c>
      <c r="R7" s="17" t="s">
        <v>92</v>
      </c>
      <c r="S7" s="17" t="s">
        <v>92</v>
      </c>
      <c r="T7" s="17" t="s">
        <v>92</v>
      </c>
      <c r="U7" s="17" t="s">
        <v>92</v>
      </c>
      <c r="V7" s="2"/>
      <c r="W7" s="2"/>
      <c r="X7" s="17" t="s">
        <v>92</v>
      </c>
      <c r="Y7" s="17" t="s">
        <v>92</v>
      </c>
      <c r="Z7" s="17" t="s">
        <v>92</v>
      </c>
      <c r="AA7" s="17" t="s">
        <v>92</v>
      </c>
      <c r="AB7" s="17" t="s">
        <v>92</v>
      </c>
      <c r="AC7" s="2"/>
      <c r="AD7" s="2"/>
      <c r="AE7" s="2"/>
      <c r="AF7" s="17" t="s">
        <v>92</v>
      </c>
      <c r="AG7" s="1"/>
    </row>
    <row r="8" spans="1:33" ht="18">
      <c r="A8" s="1">
        <v>6</v>
      </c>
      <c r="B8" s="1" t="s">
        <v>8</v>
      </c>
      <c r="C8" s="17" t="s">
        <v>92</v>
      </c>
      <c r="D8" s="17" t="s">
        <v>92</v>
      </c>
      <c r="E8" s="17" t="s">
        <v>92</v>
      </c>
      <c r="F8" s="17" t="s">
        <v>92</v>
      </c>
      <c r="G8" s="17" t="s">
        <v>92</v>
      </c>
      <c r="H8" s="2"/>
      <c r="I8" s="2"/>
      <c r="J8" s="17" t="s">
        <v>92</v>
      </c>
      <c r="K8" s="17" t="s">
        <v>92</v>
      </c>
      <c r="L8" s="17" t="s">
        <v>92</v>
      </c>
      <c r="M8" s="17" t="s">
        <v>92</v>
      </c>
      <c r="N8" s="17" t="s">
        <v>92</v>
      </c>
      <c r="O8" s="2"/>
      <c r="P8" s="2"/>
      <c r="Q8" s="17" t="s">
        <v>92</v>
      </c>
      <c r="R8" s="17" t="s">
        <v>92</v>
      </c>
      <c r="S8" s="17" t="s">
        <v>92</v>
      </c>
      <c r="T8" s="17" t="s">
        <v>92</v>
      </c>
      <c r="U8" s="17" t="s">
        <v>92</v>
      </c>
      <c r="V8" s="2"/>
      <c r="W8" s="2"/>
      <c r="X8" s="16" t="s">
        <v>25</v>
      </c>
      <c r="Y8" s="16" t="s">
        <v>25</v>
      </c>
      <c r="Z8" s="16" t="s">
        <v>25</v>
      </c>
      <c r="AA8" s="4" t="s">
        <v>50</v>
      </c>
      <c r="AB8" s="16" t="s">
        <v>25</v>
      </c>
      <c r="AC8" s="2"/>
      <c r="AD8" s="2"/>
      <c r="AE8" s="2"/>
      <c r="AF8" s="16" t="s">
        <v>25</v>
      </c>
      <c r="AG8" s="1"/>
    </row>
    <row r="9" spans="1:33">
      <c r="A9" s="1">
        <v>7</v>
      </c>
      <c r="B9" s="1" t="s">
        <v>9</v>
      </c>
      <c r="C9" s="17" t="s">
        <v>92</v>
      </c>
      <c r="D9" s="17" t="s">
        <v>92</v>
      </c>
      <c r="E9" s="17" t="s">
        <v>92</v>
      </c>
      <c r="F9" s="17" t="s">
        <v>92</v>
      </c>
      <c r="G9" s="17" t="s">
        <v>92</v>
      </c>
      <c r="H9" s="2"/>
      <c r="I9" s="2"/>
      <c r="J9" s="17" t="s">
        <v>92</v>
      </c>
      <c r="K9" s="17" t="s">
        <v>92</v>
      </c>
      <c r="L9" s="17" t="s">
        <v>92</v>
      </c>
      <c r="M9" s="17" t="s">
        <v>92</v>
      </c>
      <c r="N9" s="17" t="s">
        <v>92</v>
      </c>
      <c r="O9" s="2"/>
      <c r="P9" s="2"/>
      <c r="Q9" s="17" t="s">
        <v>92</v>
      </c>
      <c r="R9" s="17" t="s">
        <v>92</v>
      </c>
      <c r="S9" s="17" t="s">
        <v>92</v>
      </c>
      <c r="T9" s="17" t="s">
        <v>92</v>
      </c>
      <c r="U9" s="17" t="s">
        <v>92</v>
      </c>
      <c r="V9" s="2"/>
      <c r="W9" s="2"/>
      <c r="X9" s="17" t="s">
        <v>92</v>
      </c>
      <c r="Y9" s="17" t="s">
        <v>92</v>
      </c>
      <c r="Z9" s="17" t="s">
        <v>92</v>
      </c>
      <c r="AA9" s="17" t="s">
        <v>92</v>
      </c>
      <c r="AB9" s="17" t="s">
        <v>92</v>
      </c>
      <c r="AC9" s="2"/>
      <c r="AD9" s="2"/>
      <c r="AE9" s="2"/>
      <c r="AF9" s="17" t="s">
        <v>92</v>
      </c>
      <c r="AG9" s="1"/>
    </row>
    <row r="10" spans="1:33" ht="18">
      <c r="A10" s="1">
        <v>8</v>
      </c>
      <c r="B10" s="1" t="s">
        <v>10</v>
      </c>
      <c r="C10" s="17" t="s">
        <v>92</v>
      </c>
      <c r="D10" s="17" t="s">
        <v>92</v>
      </c>
      <c r="E10" s="17" t="s">
        <v>92</v>
      </c>
      <c r="F10" s="17" t="s">
        <v>92</v>
      </c>
      <c r="G10" s="17" t="s">
        <v>92</v>
      </c>
      <c r="H10" s="2"/>
      <c r="I10" s="2"/>
      <c r="J10" s="17" t="s">
        <v>92</v>
      </c>
      <c r="K10" s="17" t="s">
        <v>92</v>
      </c>
      <c r="L10" s="17" t="s">
        <v>92</v>
      </c>
      <c r="M10" s="17" t="s">
        <v>92</v>
      </c>
      <c r="N10" s="17" t="s">
        <v>92</v>
      </c>
      <c r="O10" s="2"/>
      <c r="P10" s="2"/>
      <c r="Q10" s="17" t="s">
        <v>92</v>
      </c>
      <c r="R10" s="17" t="s">
        <v>92</v>
      </c>
      <c r="S10" s="17" t="s">
        <v>92</v>
      </c>
      <c r="T10" s="17" t="s">
        <v>92</v>
      </c>
      <c r="U10" s="17" t="s">
        <v>92</v>
      </c>
      <c r="V10" s="2"/>
      <c r="W10" s="2"/>
      <c r="X10" s="16" t="s">
        <v>25</v>
      </c>
      <c r="Y10" s="16" t="s">
        <v>25</v>
      </c>
      <c r="Z10" s="16" t="s">
        <v>25</v>
      </c>
      <c r="AA10" s="16" t="s">
        <v>25</v>
      </c>
      <c r="AB10" s="16" t="s">
        <v>25</v>
      </c>
      <c r="AC10" s="2"/>
      <c r="AD10" s="2"/>
      <c r="AE10" s="2"/>
      <c r="AF10" s="16" t="s">
        <v>25</v>
      </c>
      <c r="AG10" s="1"/>
    </row>
    <row r="11" spans="1:33">
      <c r="A11" s="1">
        <v>9</v>
      </c>
      <c r="B11" s="1" t="s">
        <v>11</v>
      </c>
      <c r="C11" s="17" t="s">
        <v>92</v>
      </c>
      <c r="D11" s="17" t="s">
        <v>92</v>
      </c>
      <c r="E11" s="17" t="s">
        <v>92</v>
      </c>
      <c r="F11" s="17" t="s">
        <v>92</v>
      </c>
      <c r="G11" s="17" t="s">
        <v>92</v>
      </c>
      <c r="H11" s="2"/>
      <c r="I11" s="2"/>
      <c r="J11" s="17" t="s">
        <v>92</v>
      </c>
      <c r="K11" s="17" t="s">
        <v>92</v>
      </c>
      <c r="L11" s="17" t="s">
        <v>92</v>
      </c>
      <c r="M11" s="17" t="s">
        <v>92</v>
      </c>
      <c r="N11" s="17" t="s">
        <v>92</v>
      </c>
      <c r="O11" s="2"/>
      <c r="P11" s="2"/>
      <c r="Q11" s="17" t="s">
        <v>92</v>
      </c>
      <c r="R11" s="17" t="s">
        <v>92</v>
      </c>
      <c r="S11" s="17" t="s">
        <v>92</v>
      </c>
      <c r="T11" s="17" t="s">
        <v>92</v>
      </c>
      <c r="U11" s="17" t="s">
        <v>92</v>
      </c>
      <c r="V11" s="2"/>
      <c r="W11" s="2"/>
      <c r="X11" s="17" t="s">
        <v>92</v>
      </c>
      <c r="Y11" s="17" t="s">
        <v>92</v>
      </c>
      <c r="Z11" s="17" t="s">
        <v>92</v>
      </c>
      <c r="AA11" s="17" t="s">
        <v>92</v>
      </c>
      <c r="AB11" s="17" t="s">
        <v>92</v>
      </c>
      <c r="AC11" s="2"/>
      <c r="AD11" s="2"/>
      <c r="AE11" s="2"/>
      <c r="AF11" s="17" t="s">
        <v>92</v>
      </c>
      <c r="AG11" s="1"/>
    </row>
    <row r="12" spans="1:33" ht="18">
      <c r="A12" s="1">
        <v>10</v>
      </c>
      <c r="B12" s="1" t="s">
        <v>12</v>
      </c>
      <c r="C12" s="17" t="s">
        <v>92</v>
      </c>
      <c r="D12" s="16" t="s">
        <v>25</v>
      </c>
      <c r="E12" s="4" t="s">
        <v>50</v>
      </c>
      <c r="F12" s="16" t="s">
        <v>25</v>
      </c>
      <c r="G12" s="16" t="s">
        <v>25</v>
      </c>
      <c r="H12" s="2"/>
      <c r="I12" s="2"/>
      <c r="J12" s="16" t="s">
        <v>25</v>
      </c>
      <c r="K12" s="16" t="s">
        <v>25</v>
      </c>
      <c r="L12" s="16" t="s">
        <v>25</v>
      </c>
      <c r="M12" s="16" t="s">
        <v>25</v>
      </c>
      <c r="N12" s="17" t="s">
        <v>92</v>
      </c>
      <c r="O12" s="2"/>
      <c r="P12" s="2"/>
      <c r="Q12" s="17" t="s">
        <v>92</v>
      </c>
      <c r="R12" s="17" t="s">
        <v>92</v>
      </c>
      <c r="S12" s="17" t="s">
        <v>92</v>
      </c>
      <c r="T12" s="17" t="s">
        <v>92</v>
      </c>
      <c r="U12" s="17" t="s">
        <v>92</v>
      </c>
      <c r="V12" s="2"/>
      <c r="W12" s="2"/>
      <c r="X12" s="17" t="s">
        <v>92</v>
      </c>
      <c r="Y12" s="17" t="s">
        <v>92</v>
      </c>
      <c r="Z12" s="17" t="s">
        <v>92</v>
      </c>
      <c r="AA12" s="17" t="s">
        <v>92</v>
      </c>
      <c r="AB12" s="17" t="s">
        <v>92</v>
      </c>
      <c r="AC12" s="2"/>
      <c r="AD12" s="2"/>
      <c r="AE12" s="2"/>
      <c r="AF12" s="16" t="s">
        <v>25</v>
      </c>
      <c r="AG12" s="1"/>
    </row>
    <row r="13" spans="1:33">
      <c r="A13" s="1">
        <v>11</v>
      </c>
      <c r="B13" s="1" t="s">
        <v>13</v>
      </c>
      <c r="C13" s="17" t="s">
        <v>92</v>
      </c>
      <c r="D13" s="17" t="s">
        <v>92</v>
      </c>
      <c r="E13" s="17" t="s">
        <v>92</v>
      </c>
      <c r="F13" s="17" t="s">
        <v>92</v>
      </c>
      <c r="G13" s="17" t="s">
        <v>92</v>
      </c>
      <c r="H13" s="2"/>
      <c r="I13" s="2"/>
      <c r="J13" s="17" t="s">
        <v>92</v>
      </c>
      <c r="K13" s="17" t="s">
        <v>92</v>
      </c>
      <c r="L13" s="17" t="s">
        <v>92</v>
      </c>
      <c r="M13" s="17" t="s">
        <v>92</v>
      </c>
      <c r="N13" s="17" t="s">
        <v>92</v>
      </c>
      <c r="O13" s="2"/>
      <c r="P13" s="2"/>
      <c r="Q13" s="17" t="s">
        <v>92</v>
      </c>
      <c r="R13" s="17" t="s">
        <v>92</v>
      </c>
      <c r="S13" s="17" t="s">
        <v>92</v>
      </c>
      <c r="T13" s="17" t="s">
        <v>92</v>
      </c>
      <c r="U13" s="17" t="s">
        <v>92</v>
      </c>
      <c r="V13" s="2"/>
      <c r="W13" s="2"/>
      <c r="X13" s="17" t="s">
        <v>92</v>
      </c>
      <c r="Y13" s="17" t="s">
        <v>92</v>
      </c>
      <c r="Z13" s="17" t="s">
        <v>92</v>
      </c>
      <c r="AA13" s="17" t="s">
        <v>92</v>
      </c>
      <c r="AB13" s="17" t="s">
        <v>92</v>
      </c>
      <c r="AC13" s="2"/>
      <c r="AD13" s="2"/>
      <c r="AE13" s="2"/>
      <c r="AF13" s="17" t="s">
        <v>92</v>
      </c>
      <c r="AG13" s="1"/>
    </row>
    <row r="14" spans="1:33" ht="18">
      <c r="A14" s="1">
        <v>12</v>
      </c>
      <c r="B14" s="1" t="s">
        <v>14</v>
      </c>
      <c r="C14" s="17" t="s">
        <v>92</v>
      </c>
      <c r="D14" s="17" t="s">
        <v>92</v>
      </c>
      <c r="E14" s="17" t="s">
        <v>92</v>
      </c>
      <c r="F14" s="17" t="s">
        <v>92</v>
      </c>
      <c r="G14" s="17" t="s">
        <v>92</v>
      </c>
      <c r="H14" s="2"/>
      <c r="I14" s="2"/>
      <c r="J14" s="17" t="s">
        <v>92</v>
      </c>
      <c r="K14" s="17" t="s">
        <v>92</v>
      </c>
      <c r="L14" s="17" t="s">
        <v>92</v>
      </c>
      <c r="M14" s="17" t="s">
        <v>92</v>
      </c>
      <c r="N14" s="17" t="s">
        <v>92</v>
      </c>
      <c r="O14" s="2"/>
      <c r="P14" s="2"/>
      <c r="Q14" s="17" t="s">
        <v>92</v>
      </c>
      <c r="R14" s="17" t="s">
        <v>92</v>
      </c>
      <c r="S14" s="17" t="s">
        <v>92</v>
      </c>
      <c r="T14" s="16" t="s">
        <v>25</v>
      </c>
      <c r="U14" s="16" t="s">
        <v>25</v>
      </c>
      <c r="V14" s="2"/>
      <c r="W14" s="2"/>
      <c r="X14" s="16" t="s">
        <v>25</v>
      </c>
      <c r="Y14" s="16" t="s">
        <v>25</v>
      </c>
      <c r="Z14" s="17" t="s">
        <v>92</v>
      </c>
      <c r="AA14" s="17" t="s">
        <v>92</v>
      </c>
      <c r="AB14" s="17" t="s">
        <v>92</v>
      </c>
      <c r="AC14" s="2"/>
      <c r="AD14" s="2"/>
      <c r="AE14" s="2"/>
      <c r="AF14" s="17" t="s">
        <v>92</v>
      </c>
      <c r="AG14" s="1"/>
    </row>
    <row r="15" spans="1:33" ht="18">
      <c r="A15" s="1">
        <v>13</v>
      </c>
      <c r="B15" s="1" t="s">
        <v>16</v>
      </c>
      <c r="C15" s="17" t="s">
        <v>92</v>
      </c>
      <c r="D15" s="17" t="s">
        <v>92</v>
      </c>
      <c r="E15" s="17" t="s">
        <v>92</v>
      </c>
      <c r="F15" s="17" t="s">
        <v>92</v>
      </c>
      <c r="G15" s="17" t="s">
        <v>92</v>
      </c>
      <c r="H15" s="2"/>
      <c r="I15" s="2"/>
      <c r="J15" s="17" t="s">
        <v>92</v>
      </c>
      <c r="K15" s="17" t="s">
        <v>92</v>
      </c>
      <c r="L15" s="17" t="s">
        <v>92</v>
      </c>
      <c r="M15" s="17" t="s">
        <v>92</v>
      </c>
      <c r="N15" s="17" t="s">
        <v>92</v>
      </c>
      <c r="O15" s="2"/>
      <c r="P15" s="2"/>
      <c r="Q15" s="17" t="s">
        <v>92</v>
      </c>
      <c r="R15" s="17" t="s">
        <v>92</v>
      </c>
      <c r="S15" s="17" t="s">
        <v>92</v>
      </c>
      <c r="T15" s="17" t="s">
        <v>92</v>
      </c>
      <c r="U15" s="17" t="s">
        <v>92</v>
      </c>
      <c r="V15" s="2"/>
      <c r="W15" s="2"/>
      <c r="X15" s="16" t="s">
        <v>25</v>
      </c>
      <c r="Y15" s="16" t="s">
        <v>25</v>
      </c>
      <c r="Z15" s="16" t="s">
        <v>25</v>
      </c>
      <c r="AA15" s="16" t="s">
        <v>25</v>
      </c>
      <c r="AB15" s="16" t="s">
        <v>25</v>
      </c>
      <c r="AC15" s="2"/>
      <c r="AD15" s="2"/>
      <c r="AE15" s="2"/>
      <c r="AF15" s="16" t="s">
        <v>25</v>
      </c>
      <c r="AG15" s="1"/>
    </row>
    <row r="16" spans="1:33" ht="18">
      <c r="A16" s="1">
        <v>14</v>
      </c>
      <c r="B16" s="1" t="s">
        <v>60</v>
      </c>
      <c r="C16" s="16" t="s">
        <v>25</v>
      </c>
      <c r="D16" s="16" t="s">
        <v>25</v>
      </c>
      <c r="E16" s="16" t="s">
        <v>25</v>
      </c>
      <c r="F16" s="16" t="s">
        <v>25</v>
      </c>
      <c r="G16" s="16" t="s">
        <v>25</v>
      </c>
      <c r="H16" s="2"/>
      <c r="I16" s="2"/>
      <c r="J16" s="16" t="s">
        <v>25</v>
      </c>
      <c r="K16" s="16" t="s">
        <v>25</v>
      </c>
      <c r="L16" s="16" t="s">
        <v>25</v>
      </c>
      <c r="M16" s="16" t="s">
        <v>25</v>
      </c>
      <c r="N16" s="16" t="s">
        <v>25</v>
      </c>
      <c r="O16" s="2"/>
      <c r="P16" s="2"/>
      <c r="Q16" s="16" t="s">
        <v>25</v>
      </c>
      <c r="R16" s="16" t="s">
        <v>25</v>
      </c>
      <c r="S16" s="4" t="s">
        <v>50</v>
      </c>
      <c r="T16" s="16" t="s">
        <v>25</v>
      </c>
      <c r="U16" s="16" t="s">
        <v>25</v>
      </c>
      <c r="V16" s="2"/>
      <c r="W16" s="2"/>
      <c r="X16" s="16" t="s">
        <v>25</v>
      </c>
      <c r="Y16" s="16" t="s">
        <v>25</v>
      </c>
      <c r="Z16" s="16" t="s">
        <v>25</v>
      </c>
      <c r="AA16" s="16" t="s">
        <v>25</v>
      </c>
      <c r="AB16" s="16" t="s">
        <v>25</v>
      </c>
      <c r="AC16" s="2"/>
      <c r="AD16" s="2"/>
      <c r="AE16" s="2"/>
      <c r="AF16" s="16" t="s">
        <v>25</v>
      </c>
      <c r="AG16" s="1"/>
    </row>
    <row r="17" spans="1:33" ht="18">
      <c r="A17" s="1">
        <v>15</v>
      </c>
      <c r="B17" s="1" t="s">
        <v>66</v>
      </c>
      <c r="C17" s="16" t="s">
        <v>25</v>
      </c>
      <c r="D17" s="16" t="s">
        <v>25</v>
      </c>
      <c r="E17" s="16" t="s">
        <v>25</v>
      </c>
      <c r="F17" s="16" t="s">
        <v>25</v>
      </c>
      <c r="G17" s="16" t="s">
        <v>25</v>
      </c>
      <c r="H17" s="2"/>
      <c r="I17" s="2"/>
      <c r="J17" s="16" t="s">
        <v>25</v>
      </c>
      <c r="K17" s="16" t="s">
        <v>25</v>
      </c>
      <c r="L17" s="16" t="s">
        <v>25</v>
      </c>
      <c r="M17" s="16" t="s">
        <v>25</v>
      </c>
      <c r="N17" s="16" t="s">
        <v>25</v>
      </c>
      <c r="O17" s="2"/>
      <c r="P17" s="2"/>
      <c r="Q17" s="16" t="s">
        <v>25</v>
      </c>
      <c r="R17" s="16" t="s">
        <v>25</v>
      </c>
      <c r="S17" s="16" t="s">
        <v>25</v>
      </c>
      <c r="T17" s="16" t="s">
        <v>25</v>
      </c>
      <c r="U17" s="16" t="s">
        <v>25</v>
      </c>
      <c r="V17" s="2"/>
      <c r="W17" s="2"/>
      <c r="X17" s="16" t="s">
        <v>25</v>
      </c>
      <c r="Y17" s="16" t="s">
        <v>25</v>
      </c>
      <c r="Z17" s="16" t="s">
        <v>25</v>
      </c>
      <c r="AA17" s="16" t="s">
        <v>25</v>
      </c>
      <c r="AB17" s="16" t="s">
        <v>25</v>
      </c>
      <c r="AC17" s="2"/>
      <c r="AD17" s="2"/>
      <c r="AE17" s="2"/>
      <c r="AF17" s="16" t="s">
        <v>25</v>
      </c>
      <c r="AG17" s="1"/>
    </row>
    <row r="18" spans="1:33" ht="18">
      <c r="A18" s="1">
        <v>16</v>
      </c>
      <c r="B18" s="1" t="s">
        <v>87</v>
      </c>
      <c r="C18" s="16" t="s">
        <v>25</v>
      </c>
      <c r="D18" s="16" t="s">
        <v>25</v>
      </c>
      <c r="E18" s="16" t="s">
        <v>25</v>
      </c>
      <c r="F18" s="16" t="s">
        <v>25</v>
      </c>
      <c r="G18" s="16" t="s">
        <v>25</v>
      </c>
      <c r="H18" s="2"/>
      <c r="I18" s="2"/>
      <c r="J18" s="16" t="s">
        <v>25</v>
      </c>
      <c r="K18" s="16" t="s">
        <v>25</v>
      </c>
      <c r="L18" s="16" t="s">
        <v>25</v>
      </c>
      <c r="M18" s="16" t="s">
        <v>25</v>
      </c>
      <c r="N18" s="16" t="s">
        <v>25</v>
      </c>
      <c r="O18" s="2"/>
      <c r="P18" s="2"/>
      <c r="Q18" s="4" t="s">
        <v>50</v>
      </c>
      <c r="R18" s="16" t="s">
        <v>25</v>
      </c>
      <c r="S18" s="16" t="s">
        <v>25</v>
      </c>
      <c r="T18" s="16" t="s">
        <v>25</v>
      </c>
      <c r="U18" s="16" t="s">
        <v>25</v>
      </c>
      <c r="V18" s="2"/>
      <c r="W18" s="2"/>
      <c r="X18" s="16" t="s">
        <v>25</v>
      </c>
      <c r="Y18" s="16" t="s">
        <v>25</v>
      </c>
      <c r="Z18" s="16" t="s">
        <v>25</v>
      </c>
      <c r="AA18" s="16" t="s">
        <v>25</v>
      </c>
      <c r="AB18" s="16" t="s">
        <v>25</v>
      </c>
      <c r="AC18" s="2"/>
      <c r="AD18" s="2"/>
      <c r="AE18" s="2"/>
      <c r="AF18" s="16" t="s">
        <v>25</v>
      </c>
      <c r="AG18" s="1"/>
    </row>
    <row r="19" spans="1:33" ht="18">
      <c r="A19" s="1">
        <v>17</v>
      </c>
      <c r="B19" s="1" t="s">
        <v>104</v>
      </c>
      <c r="C19" s="16" t="s">
        <v>25</v>
      </c>
      <c r="D19" s="16" t="s">
        <v>25</v>
      </c>
      <c r="E19" s="16" t="s">
        <v>25</v>
      </c>
      <c r="F19" s="16" t="s">
        <v>25</v>
      </c>
      <c r="G19" s="16" t="s">
        <v>25</v>
      </c>
      <c r="H19" s="2"/>
      <c r="I19" s="2"/>
      <c r="J19" s="16" t="s">
        <v>25</v>
      </c>
      <c r="K19" s="16" t="s">
        <v>25</v>
      </c>
      <c r="L19" s="16" t="s">
        <v>25</v>
      </c>
      <c r="M19" s="16" t="s">
        <v>25</v>
      </c>
      <c r="N19" s="16" t="s">
        <v>25</v>
      </c>
      <c r="O19" s="2"/>
      <c r="P19" s="2"/>
      <c r="Q19" s="16" t="s">
        <v>25</v>
      </c>
      <c r="R19" s="16" t="s">
        <v>25</v>
      </c>
      <c r="S19" s="16" t="s">
        <v>25</v>
      </c>
      <c r="T19" s="16" t="s">
        <v>25</v>
      </c>
      <c r="U19" s="16" t="s">
        <v>25</v>
      </c>
      <c r="V19" s="2"/>
      <c r="W19" s="2"/>
      <c r="X19" s="16" t="s">
        <v>25</v>
      </c>
      <c r="Y19" s="16" t="s">
        <v>25</v>
      </c>
      <c r="Z19" s="16" t="s">
        <v>25</v>
      </c>
      <c r="AA19" s="16" t="s">
        <v>25</v>
      </c>
      <c r="AB19" s="16" t="s">
        <v>25</v>
      </c>
      <c r="AC19" s="2"/>
      <c r="AD19" s="2"/>
      <c r="AE19" s="2"/>
      <c r="AF19" s="16" t="s">
        <v>25</v>
      </c>
      <c r="AG19" s="2"/>
    </row>
    <row r="20" spans="1:33" ht="18">
      <c r="A20" s="1">
        <v>18</v>
      </c>
      <c r="B20" s="1" t="s">
        <v>139</v>
      </c>
      <c r="C20" s="16" t="s">
        <v>140</v>
      </c>
      <c r="D20" s="16" t="s">
        <v>140</v>
      </c>
      <c r="E20" s="16" t="s">
        <v>140</v>
      </c>
      <c r="F20" s="16" t="s">
        <v>140</v>
      </c>
      <c r="G20" s="16" t="s">
        <v>140</v>
      </c>
      <c r="H20" s="2"/>
      <c r="I20" s="2"/>
      <c r="J20" s="16" t="s">
        <v>140</v>
      </c>
      <c r="K20" s="16" t="s">
        <v>140</v>
      </c>
      <c r="L20" s="16" t="s">
        <v>140</v>
      </c>
      <c r="M20" s="16" t="s">
        <v>140</v>
      </c>
      <c r="N20" s="16" t="s">
        <v>140</v>
      </c>
      <c r="O20" s="2"/>
      <c r="P20" s="2"/>
      <c r="Q20" s="16" t="s">
        <v>140</v>
      </c>
      <c r="R20" s="16" t="s">
        <v>140</v>
      </c>
      <c r="S20" s="16" t="s">
        <v>140</v>
      </c>
      <c r="T20" s="16" t="s">
        <v>140</v>
      </c>
      <c r="U20" s="16" t="s">
        <v>140</v>
      </c>
      <c r="V20" s="2"/>
      <c r="W20" s="2"/>
      <c r="X20" s="16" t="s">
        <v>140</v>
      </c>
      <c r="Y20" s="16" t="s">
        <v>140</v>
      </c>
      <c r="Z20" s="16" t="s">
        <v>140</v>
      </c>
      <c r="AA20" s="16" t="s">
        <v>140</v>
      </c>
      <c r="AB20" s="16" t="s">
        <v>140</v>
      </c>
      <c r="AC20" s="2"/>
      <c r="AD20" s="2"/>
      <c r="AE20" s="2"/>
      <c r="AF20" s="1" t="s">
        <v>50</v>
      </c>
      <c r="AG20" s="2"/>
    </row>
    <row r="21" spans="1:33">
      <c r="A21" s="5" t="s">
        <v>61</v>
      </c>
      <c r="B21" t="s">
        <v>23</v>
      </c>
    </row>
    <row r="22" spans="1:33">
      <c r="A22" s="4" t="s">
        <v>50</v>
      </c>
      <c r="B22" t="s">
        <v>24</v>
      </c>
    </row>
    <row r="23" spans="1:33">
      <c r="A23" s="7" t="s">
        <v>30</v>
      </c>
      <c r="B23" s="6" t="s">
        <v>29</v>
      </c>
    </row>
    <row r="25" spans="1:33">
      <c r="A25" s="11" t="s">
        <v>43</v>
      </c>
    </row>
    <row r="26" spans="1:33">
      <c r="A26" s="12" t="s">
        <v>44</v>
      </c>
    </row>
    <row r="27" spans="1:33">
      <c r="A27" s="12" t="s">
        <v>45</v>
      </c>
    </row>
    <row r="28" spans="1:33">
      <c r="A28" s="12" t="s">
        <v>41</v>
      </c>
    </row>
    <row r="29" spans="1:33">
      <c r="A29" s="12" t="s">
        <v>46</v>
      </c>
    </row>
    <row r="30" spans="1:33">
      <c r="A30" s="12" t="s">
        <v>47</v>
      </c>
    </row>
    <row r="31" spans="1:33">
      <c r="A31" s="12" t="s">
        <v>42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18">
    <cfRule type="duplicateValues" dxfId="19" priority="2"/>
  </conditionalFormatting>
  <conditionalFormatting sqref="B19:B20">
    <cfRule type="duplicateValues" dxfId="18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H20"/>
  <sheetViews>
    <sheetView workbookViewId="0">
      <selection activeCell="Q22" sqref="Q22"/>
    </sheetView>
  </sheetViews>
  <sheetFormatPr baseColWidth="10" defaultColWidth="8.83203125" defaultRowHeight="15"/>
  <cols>
    <col min="3" max="3" width="15.33203125" customWidth="1"/>
    <col min="4" max="8" width="8.83203125" customWidth="1"/>
    <col min="9" max="9" width="9.1640625" customWidth="1"/>
    <col min="10" max="33" width="8.83203125" customWidth="1"/>
    <col min="34" max="34" width="0" hidden="1" customWidth="1"/>
  </cols>
  <sheetData>
    <row r="1" spans="1:34" ht="27">
      <c r="A1" s="71" t="s">
        <v>17</v>
      </c>
      <c r="B1" s="71"/>
      <c r="C1" s="64" t="s">
        <v>59</v>
      </c>
      <c r="D1" s="68">
        <v>45536</v>
      </c>
      <c r="E1" s="68">
        <v>45537</v>
      </c>
      <c r="F1" s="68">
        <v>45538</v>
      </c>
      <c r="G1" s="68">
        <v>45539</v>
      </c>
      <c r="H1" s="68">
        <v>45540</v>
      </c>
      <c r="I1" s="68">
        <v>45541</v>
      </c>
      <c r="J1" s="68">
        <v>45542</v>
      </c>
      <c r="K1" s="68">
        <v>45543</v>
      </c>
      <c r="L1" s="68">
        <v>45544</v>
      </c>
      <c r="M1" s="68">
        <v>45545</v>
      </c>
      <c r="N1" s="68">
        <v>45546</v>
      </c>
      <c r="O1" s="68">
        <v>45547</v>
      </c>
      <c r="P1" s="68">
        <v>45548</v>
      </c>
      <c r="Q1" s="68">
        <v>45549</v>
      </c>
      <c r="R1" s="68">
        <v>45550</v>
      </c>
      <c r="S1" s="68">
        <v>45551</v>
      </c>
      <c r="T1" s="68">
        <v>45552</v>
      </c>
      <c r="U1" s="68">
        <v>45553</v>
      </c>
      <c r="V1" s="68">
        <v>45554</v>
      </c>
      <c r="W1" s="68">
        <v>45555</v>
      </c>
      <c r="X1" s="68">
        <v>45556</v>
      </c>
      <c r="Y1" s="68">
        <v>45557</v>
      </c>
      <c r="Z1" s="68">
        <v>45558</v>
      </c>
      <c r="AA1" s="68">
        <v>45559</v>
      </c>
      <c r="AB1" s="68">
        <v>45560</v>
      </c>
      <c r="AC1" s="68">
        <v>45561</v>
      </c>
      <c r="AD1" s="68">
        <v>45562</v>
      </c>
      <c r="AE1" s="68">
        <v>45563</v>
      </c>
      <c r="AF1" s="68">
        <v>45564</v>
      </c>
      <c r="AG1" s="68">
        <v>45565</v>
      </c>
      <c r="AH1" s="68"/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2"/>
      <c r="AG3" s="1">
        <v>0</v>
      </c>
      <c r="AH3" s="1"/>
    </row>
    <row r="4" spans="1:34">
      <c r="A4" s="1">
        <v>2</v>
      </c>
      <c r="B4" s="1" t="s">
        <v>4</v>
      </c>
      <c r="C4" s="1">
        <f t="shared" ref="C4:C20" si="0">SUM(D4:AH4)</f>
        <v>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2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0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2"/>
      <c r="AG4" s="1">
        <v>0</v>
      </c>
      <c r="AH4" s="1"/>
    </row>
    <row r="5" spans="1:34">
      <c r="A5" s="1">
        <v>3</v>
      </c>
      <c r="B5" s="1" t="s">
        <v>5</v>
      </c>
      <c r="C5" s="1">
        <f t="shared" si="0"/>
        <v>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/>
      <c r="J5" s="2"/>
      <c r="K5" s="1">
        <v>0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2</v>
      </c>
      <c r="AA5" s="1">
        <v>0</v>
      </c>
      <c r="AB5" s="1">
        <v>0</v>
      </c>
      <c r="AC5" s="1">
        <v>0</v>
      </c>
      <c r="AD5" s="2"/>
      <c r="AE5" s="2"/>
      <c r="AF5" s="2"/>
      <c r="AG5" s="1">
        <v>0</v>
      </c>
      <c r="AH5" s="1"/>
    </row>
    <row r="6" spans="1:34">
      <c r="A6" s="1">
        <v>4</v>
      </c>
      <c r="B6" s="1" t="s">
        <v>6</v>
      </c>
      <c r="C6" s="1">
        <f t="shared" si="0"/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/>
      <c r="J6" s="2"/>
      <c r="K6" s="1">
        <v>0</v>
      </c>
      <c r="L6" s="1">
        <v>0</v>
      </c>
      <c r="M6" s="1">
        <v>0</v>
      </c>
      <c r="N6" s="1">
        <v>0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2"/>
      <c r="AG6" s="1">
        <v>0</v>
      </c>
      <c r="AH6" s="1"/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/>
      <c r="J7" s="2"/>
      <c r="K7" s="1">
        <v>0</v>
      </c>
      <c r="L7" s="1">
        <v>0</v>
      </c>
      <c r="M7" s="1">
        <v>0</v>
      </c>
      <c r="N7" s="1">
        <v>0</v>
      </c>
      <c r="O7" s="1">
        <v>0</v>
      </c>
      <c r="P7" s="2"/>
      <c r="Q7" s="2"/>
      <c r="R7" s="1">
        <v>0</v>
      </c>
      <c r="S7" s="1">
        <v>0</v>
      </c>
      <c r="T7" s="1">
        <v>0</v>
      </c>
      <c r="U7" s="1">
        <v>0</v>
      </c>
      <c r="V7" s="1">
        <v>0</v>
      </c>
      <c r="W7" s="2"/>
      <c r="X7" s="2"/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/>
      <c r="AE7" s="2"/>
      <c r="AF7" s="2"/>
      <c r="AG7" s="1">
        <v>0</v>
      </c>
      <c r="AH7" s="1"/>
    </row>
    <row r="8" spans="1:34">
      <c r="A8" s="1">
        <v>6</v>
      </c>
      <c r="B8" s="1" t="s">
        <v>8</v>
      </c>
      <c r="C8" s="1">
        <f t="shared" si="0"/>
        <v>16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/>
      <c r="J8" s="2"/>
      <c r="K8" s="1">
        <v>0</v>
      </c>
      <c r="L8" s="1">
        <v>0</v>
      </c>
      <c r="M8" s="1">
        <v>0</v>
      </c>
      <c r="N8" s="1">
        <v>0</v>
      </c>
      <c r="O8" s="1">
        <v>0</v>
      </c>
      <c r="P8" s="2"/>
      <c r="Q8" s="2"/>
      <c r="R8" s="1">
        <v>0</v>
      </c>
      <c r="S8" s="1">
        <v>0</v>
      </c>
      <c r="T8" s="1">
        <v>0</v>
      </c>
      <c r="U8" s="1">
        <v>0</v>
      </c>
      <c r="V8" s="1">
        <v>0</v>
      </c>
      <c r="W8" s="2"/>
      <c r="X8" s="2"/>
      <c r="Y8" s="1">
        <v>0</v>
      </c>
      <c r="Z8" s="1">
        <v>0</v>
      </c>
      <c r="AA8" s="1">
        <v>0</v>
      </c>
      <c r="AB8" s="1">
        <v>16</v>
      </c>
      <c r="AC8" s="1">
        <v>0</v>
      </c>
      <c r="AD8" s="2"/>
      <c r="AE8" s="2"/>
      <c r="AF8" s="2"/>
      <c r="AG8" s="1">
        <v>0</v>
      </c>
      <c r="AH8" s="1"/>
    </row>
    <row r="9" spans="1:34">
      <c r="A9" s="1">
        <v>7</v>
      </c>
      <c r="B9" s="1" t="s">
        <v>9</v>
      </c>
      <c r="C9" s="1">
        <f t="shared" si="0"/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/>
      <c r="J9" s="2"/>
      <c r="K9" s="1">
        <v>0</v>
      </c>
      <c r="L9" s="1">
        <v>0</v>
      </c>
      <c r="M9" s="1">
        <v>0</v>
      </c>
      <c r="N9" s="1">
        <v>0</v>
      </c>
      <c r="O9" s="1">
        <v>0</v>
      </c>
      <c r="P9" s="2"/>
      <c r="Q9" s="2"/>
      <c r="R9" s="1">
        <v>0</v>
      </c>
      <c r="S9" s="1">
        <v>0</v>
      </c>
      <c r="T9" s="1">
        <v>0</v>
      </c>
      <c r="U9" s="1">
        <v>0</v>
      </c>
      <c r="V9" s="1">
        <v>0</v>
      </c>
      <c r="W9" s="2"/>
      <c r="X9" s="2"/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"/>
      <c r="AE9" s="2"/>
      <c r="AF9" s="2"/>
      <c r="AG9" s="1">
        <v>0</v>
      </c>
      <c r="AH9" s="1"/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2"/>
      <c r="AG10" s="1">
        <v>0</v>
      </c>
      <c r="AH10" s="1"/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/>
      <c r="J11" s="2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/>
      <c r="Q11" s="2"/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/>
      <c r="X11" s="2"/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/>
      <c r="AE11" s="2"/>
      <c r="AF11" s="2"/>
      <c r="AG11" s="1">
        <v>0</v>
      </c>
      <c r="AH11" s="1"/>
    </row>
    <row r="12" spans="1:34">
      <c r="A12" s="1">
        <v>10</v>
      </c>
      <c r="B12" s="1" t="s">
        <v>12</v>
      </c>
      <c r="C12" s="1">
        <f t="shared" si="0"/>
        <v>16</v>
      </c>
      <c r="D12" s="1">
        <v>0</v>
      </c>
      <c r="E12" s="1">
        <v>0</v>
      </c>
      <c r="F12" s="1">
        <v>16</v>
      </c>
      <c r="G12" s="1">
        <v>0</v>
      </c>
      <c r="H12" s="1">
        <v>0</v>
      </c>
      <c r="I12" s="2"/>
      <c r="J12" s="2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2"/>
      <c r="AG12" s="1">
        <v>0</v>
      </c>
      <c r="AH12" s="1"/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/>
      <c r="J13" s="2"/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2"/>
      <c r="Q13" s="2"/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2"/>
      <c r="X13" s="2"/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2"/>
      <c r="AE13" s="2"/>
      <c r="AF13" s="2"/>
      <c r="AG13" s="1">
        <v>0</v>
      </c>
      <c r="AH13" s="1"/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/>
      <c r="J14" s="2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/>
      <c r="Q14" s="2"/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2"/>
      <c r="AE14" s="2"/>
      <c r="AF14" s="2"/>
      <c r="AG14" s="1">
        <v>0</v>
      </c>
      <c r="AH14" s="1"/>
    </row>
    <row r="15" spans="1:34" ht="16.25" customHeight="1">
      <c r="A15" s="1">
        <v>13</v>
      </c>
      <c r="B15" s="1" t="s">
        <v>16</v>
      </c>
      <c r="C15" s="1">
        <f t="shared" si="0"/>
        <v>16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/>
      <c r="J15" s="2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/>
      <c r="Q15" s="2"/>
      <c r="R15" s="1">
        <v>16</v>
      </c>
      <c r="S15" s="1">
        <v>0</v>
      </c>
      <c r="T15" s="1">
        <v>0</v>
      </c>
      <c r="U15" s="1">
        <v>0</v>
      </c>
      <c r="V15" s="1">
        <v>0</v>
      </c>
      <c r="W15" s="2"/>
      <c r="X15" s="2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/>
      <c r="AE15" s="2"/>
      <c r="AF15" s="2"/>
      <c r="AG15" s="1">
        <v>0</v>
      </c>
      <c r="AH15" s="1"/>
    </row>
    <row r="16" spans="1:34">
      <c r="A16" s="1">
        <v>14</v>
      </c>
      <c r="B16" s="1" t="s">
        <v>60</v>
      </c>
      <c r="C16" s="1">
        <f t="shared" si="0"/>
        <v>16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/>
      <c r="J16" s="2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16</v>
      </c>
      <c r="U16" s="1">
        <v>0</v>
      </c>
      <c r="V16" s="1">
        <v>0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/>
      <c r="AE16" s="2"/>
      <c r="AF16" s="2"/>
      <c r="AG16" s="1">
        <v>0</v>
      </c>
      <c r="AH16" s="1"/>
    </row>
    <row r="17" spans="1:34">
      <c r="A17" s="1">
        <v>15</v>
      </c>
      <c r="B17" s="1" t="s">
        <v>66</v>
      </c>
      <c r="C17" s="1">
        <f t="shared" si="0"/>
        <v>7</v>
      </c>
      <c r="D17" s="1">
        <v>0</v>
      </c>
      <c r="E17" s="1">
        <v>3</v>
      </c>
      <c r="F17" s="1">
        <v>0</v>
      </c>
      <c r="G17" s="1">
        <v>0</v>
      </c>
      <c r="H17" s="1">
        <v>0</v>
      </c>
      <c r="I17" s="2"/>
      <c r="J17" s="2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2"/>
      <c r="Q17" s="2"/>
      <c r="R17" s="1">
        <v>0</v>
      </c>
      <c r="S17" s="1">
        <v>0</v>
      </c>
      <c r="T17" s="1">
        <v>0</v>
      </c>
      <c r="U17" s="1">
        <v>0</v>
      </c>
      <c r="V17" s="1">
        <v>4</v>
      </c>
      <c r="W17" s="2"/>
      <c r="X17" s="2"/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2"/>
      <c r="AE17" s="2"/>
      <c r="AF17" s="2"/>
      <c r="AG17" s="1">
        <v>0</v>
      </c>
      <c r="AH17" s="1"/>
    </row>
    <row r="18" spans="1:34">
      <c r="A18" s="1">
        <v>16</v>
      </c>
      <c r="B18" s="1" t="s">
        <v>87</v>
      </c>
      <c r="C18" s="1">
        <f t="shared" si="0"/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/>
      <c r="J18" s="2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2"/>
      <c r="Q18" s="2"/>
      <c r="R18" s="1">
        <v>16</v>
      </c>
      <c r="S18" s="1">
        <v>0</v>
      </c>
      <c r="T18" s="1">
        <v>0</v>
      </c>
      <c r="U18" s="1">
        <v>0</v>
      </c>
      <c r="V18" s="1">
        <v>0</v>
      </c>
      <c r="W18" s="2"/>
      <c r="X18" s="2"/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2"/>
      <c r="AE18" s="2"/>
      <c r="AF18" s="2"/>
      <c r="AG18" s="1">
        <v>0</v>
      </c>
      <c r="AH18" s="1"/>
    </row>
    <row r="19" spans="1:34">
      <c r="A19" s="1">
        <v>17</v>
      </c>
      <c r="B19" s="1" t="s">
        <v>104</v>
      </c>
      <c r="C19" s="1">
        <f t="shared" si="0"/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/>
      <c r="J19" s="2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2"/>
      <c r="Q19" s="2"/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2"/>
      <c r="X19" s="2"/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2"/>
      <c r="AE19" s="2"/>
      <c r="AF19" s="2"/>
      <c r="AG19" s="1">
        <v>0</v>
      </c>
      <c r="AH19" s="1"/>
    </row>
    <row r="20" spans="1:34">
      <c r="A20" s="1">
        <v>18</v>
      </c>
      <c r="B20" s="1" t="s">
        <v>139</v>
      </c>
      <c r="C20" s="1">
        <f t="shared" si="0"/>
        <v>32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/>
      <c r="J20" s="2"/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2"/>
      <c r="Q20" s="2"/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2"/>
      <c r="X20" s="2"/>
      <c r="Y20" s="1">
        <v>16</v>
      </c>
      <c r="Z20" s="1">
        <v>0</v>
      </c>
      <c r="AA20" s="1">
        <v>0</v>
      </c>
      <c r="AB20" s="1">
        <v>0</v>
      </c>
      <c r="AC20" s="1">
        <v>0</v>
      </c>
      <c r="AD20" s="2"/>
      <c r="AE20" s="2"/>
      <c r="AF20" s="2"/>
      <c r="AG20" s="1">
        <v>16</v>
      </c>
      <c r="AH20" s="1"/>
    </row>
  </sheetData>
  <mergeCells count="33"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</mergeCells>
  <phoneticPr fontId="1" type="noConversion"/>
  <conditionalFormatting sqref="B15:B20">
    <cfRule type="duplicateValues" dxfId="17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AH24"/>
  <sheetViews>
    <sheetView topLeftCell="E1" zoomScale="85" zoomScaleNormal="85" workbookViewId="0">
      <selection activeCell="R26" sqref="R26"/>
    </sheetView>
  </sheetViews>
  <sheetFormatPr baseColWidth="10" defaultColWidth="8.83203125" defaultRowHeight="15"/>
  <cols>
    <col min="3" max="3" width="15.33203125" customWidth="1"/>
    <col min="4" max="17" width="8.83203125" customWidth="1"/>
    <col min="18" max="18" width="7.83203125" customWidth="1"/>
    <col min="19" max="34" width="8.83203125" customWidth="1"/>
    <col min="35" max="35" width="8.6640625" customWidth="1"/>
  </cols>
  <sheetData>
    <row r="1" spans="1:34" ht="27">
      <c r="A1" s="73" t="s">
        <v>19</v>
      </c>
      <c r="B1" s="73"/>
      <c r="C1" s="64" t="s">
        <v>63</v>
      </c>
      <c r="D1" s="68">
        <v>45536</v>
      </c>
      <c r="E1" s="68">
        <v>45537</v>
      </c>
      <c r="F1" s="68">
        <v>45538</v>
      </c>
      <c r="G1" s="68">
        <v>45539</v>
      </c>
      <c r="H1" s="68">
        <v>45540</v>
      </c>
      <c r="I1" s="68">
        <v>45541</v>
      </c>
      <c r="J1" s="68">
        <v>45542</v>
      </c>
      <c r="K1" s="68">
        <v>45543</v>
      </c>
      <c r="L1" s="68">
        <v>45544</v>
      </c>
      <c r="M1" s="68">
        <v>45545</v>
      </c>
      <c r="N1" s="68">
        <v>45546</v>
      </c>
      <c r="O1" s="68">
        <v>45547</v>
      </c>
      <c r="P1" s="68">
        <v>45548</v>
      </c>
      <c r="Q1" s="68">
        <v>45549</v>
      </c>
      <c r="R1" s="68">
        <v>45550</v>
      </c>
      <c r="S1" s="68">
        <v>45551</v>
      </c>
      <c r="T1" s="68">
        <v>45552</v>
      </c>
      <c r="U1" s="68">
        <v>45553</v>
      </c>
      <c r="V1" s="68">
        <v>45554</v>
      </c>
      <c r="W1" s="68">
        <v>45555</v>
      </c>
      <c r="X1" s="68">
        <v>45556</v>
      </c>
      <c r="Y1" s="68">
        <v>45557</v>
      </c>
      <c r="Z1" s="68">
        <v>45558</v>
      </c>
      <c r="AA1" s="68">
        <v>45559</v>
      </c>
      <c r="AB1" s="68">
        <v>45560</v>
      </c>
      <c r="AC1" s="68">
        <v>45561</v>
      </c>
      <c r="AD1" s="68">
        <v>45562</v>
      </c>
      <c r="AE1" s="68">
        <v>45563</v>
      </c>
      <c r="AF1" s="68">
        <v>45564</v>
      </c>
      <c r="AG1" s="68">
        <v>45565</v>
      </c>
      <c r="AH1" s="68"/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1">
        <v>0</v>
      </c>
      <c r="L3" s="1">
        <v>0</v>
      </c>
      <c r="M3" s="1">
        <v>0</v>
      </c>
      <c r="N3" s="1">
        <v>0</v>
      </c>
      <c r="O3" s="1">
        <v>0</v>
      </c>
      <c r="P3" s="2"/>
      <c r="Q3" s="2"/>
      <c r="R3" s="1">
        <v>0</v>
      </c>
      <c r="S3" s="1">
        <v>0</v>
      </c>
      <c r="T3" s="1">
        <v>0</v>
      </c>
      <c r="U3" s="1">
        <v>0</v>
      </c>
      <c r="V3" s="1">
        <v>0</v>
      </c>
      <c r="W3" s="2"/>
      <c r="X3" s="2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2"/>
      <c r="AE3" s="2"/>
      <c r="AF3" s="1">
        <v>0</v>
      </c>
      <c r="AG3" s="1">
        <v>0</v>
      </c>
      <c r="AH3" s="1"/>
    </row>
    <row r="4" spans="1:34">
      <c r="A4" s="1">
        <v>2</v>
      </c>
      <c r="B4" s="1" t="s">
        <v>4</v>
      </c>
      <c r="C4" s="1">
        <f t="shared" ref="C4:C20" si="0">SUM(D4:AH4)</f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/>
      <c r="J4" s="2"/>
      <c r="K4" s="1">
        <v>0</v>
      </c>
      <c r="L4" s="1">
        <v>0</v>
      </c>
      <c r="M4" s="1">
        <v>0</v>
      </c>
      <c r="N4" s="1">
        <v>0</v>
      </c>
      <c r="O4" s="1">
        <v>0</v>
      </c>
      <c r="P4" s="2"/>
      <c r="Q4" s="2"/>
      <c r="R4" s="1">
        <v>0</v>
      </c>
      <c r="S4" s="1">
        <v>0</v>
      </c>
      <c r="T4" s="1">
        <v>0</v>
      </c>
      <c r="U4" s="1">
        <v>0</v>
      </c>
      <c r="V4" s="1">
        <v>0</v>
      </c>
      <c r="W4" s="2"/>
      <c r="X4" s="2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2"/>
      <c r="AE4" s="2"/>
      <c r="AF4" s="1">
        <v>0</v>
      </c>
      <c r="AG4" s="1">
        <v>0</v>
      </c>
      <c r="AH4" s="1"/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/>
      <c r="J5" s="2"/>
      <c r="K5" s="1">
        <v>0</v>
      </c>
      <c r="L5" s="1">
        <v>0</v>
      </c>
      <c r="M5" s="1">
        <v>0</v>
      </c>
      <c r="N5" s="1">
        <v>0</v>
      </c>
      <c r="O5" s="1">
        <v>0</v>
      </c>
      <c r="P5" s="2"/>
      <c r="Q5" s="2"/>
      <c r="R5" s="1">
        <v>0</v>
      </c>
      <c r="S5" s="1">
        <v>0</v>
      </c>
      <c r="T5" s="1">
        <v>0</v>
      </c>
      <c r="U5" s="1">
        <v>0</v>
      </c>
      <c r="V5" s="1">
        <v>0</v>
      </c>
      <c r="W5" s="2"/>
      <c r="X5" s="2"/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2"/>
      <c r="AE5" s="2"/>
      <c r="AF5" s="1">
        <v>0</v>
      </c>
      <c r="AG5" s="1">
        <v>0</v>
      </c>
      <c r="AH5" s="1"/>
    </row>
    <row r="6" spans="1:34">
      <c r="A6" s="1">
        <v>4</v>
      </c>
      <c r="B6" s="1" t="s">
        <v>6</v>
      </c>
      <c r="C6" s="1">
        <f t="shared" si="0"/>
        <v>6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2"/>
      <c r="J6" s="2"/>
      <c r="K6" s="1">
        <v>3</v>
      </c>
      <c r="L6" s="1">
        <v>0</v>
      </c>
      <c r="M6" s="1">
        <v>0</v>
      </c>
      <c r="N6" s="1">
        <v>1</v>
      </c>
      <c r="O6" s="1">
        <v>0</v>
      </c>
      <c r="P6" s="2"/>
      <c r="Q6" s="2"/>
      <c r="R6" s="1">
        <v>0</v>
      </c>
      <c r="S6" s="1">
        <v>0</v>
      </c>
      <c r="T6" s="1">
        <v>0</v>
      </c>
      <c r="U6" s="1">
        <v>0</v>
      </c>
      <c r="V6" s="1">
        <v>0</v>
      </c>
      <c r="W6" s="2"/>
      <c r="X6" s="2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2"/>
      <c r="AE6" s="2"/>
      <c r="AF6" s="1">
        <v>0</v>
      </c>
      <c r="AG6" s="1">
        <v>0</v>
      </c>
      <c r="AH6" s="1"/>
    </row>
    <row r="7" spans="1:34">
      <c r="A7" s="1">
        <v>5</v>
      </c>
      <c r="B7" s="1" t="s">
        <v>7</v>
      </c>
      <c r="C7" s="1">
        <f t="shared" si="0"/>
        <v>94</v>
      </c>
      <c r="D7" s="1">
        <v>0</v>
      </c>
      <c r="E7" s="1">
        <v>2</v>
      </c>
      <c r="F7" s="34">
        <v>4</v>
      </c>
      <c r="G7" s="34">
        <v>4</v>
      </c>
      <c r="H7" s="34">
        <v>4</v>
      </c>
      <c r="I7" s="2"/>
      <c r="J7" s="10">
        <v>2</v>
      </c>
      <c r="K7" s="34">
        <v>4</v>
      </c>
      <c r="L7" s="34">
        <v>4</v>
      </c>
      <c r="M7" s="1">
        <v>0</v>
      </c>
      <c r="N7" s="34">
        <v>4</v>
      </c>
      <c r="O7" s="34">
        <v>4</v>
      </c>
      <c r="P7" s="2"/>
      <c r="Q7" s="2"/>
      <c r="R7" s="34">
        <v>4</v>
      </c>
      <c r="S7" s="34">
        <v>4</v>
      </c>
      <c r="T7" s="34">
        <v>4</v>
      </c>
      <c r="U7" s="1">
        <v>0</v>
      </c>
      <c r="V7" s="34">
        <v>4</v>
      </c>
      <c r="W7" s="34">
        <v>16</v>
      </c>
      <c r="X7" s="2"/>
      <c r="Y7" s="34">
        <v>4</v>
      </c>
      <c r="Z7" s="34">
        <v>4</v>
      </c>
      <c r="AA7" s="34">
        <v>4</v>
      </c>
      <c r="AB7" s="34">
        <v>4</v>
      </c>
      <c r="AC7" s="34">
        <v>4</v>
      </c>
      <c r="AD7" s="2"/>
      <c r="AE7" s="10">
        <v>2</v>
      </c>
      <c r="AF7" s="34">
        <v>4</v>
      </c>
      <c r="AG7" s="34">
        <v>4</v>
      </c>
      <c r="AH7" s="1"/>
    </row>
    <row r="8" spans="1:34">
      <c r="A8" s="1">
        <v>6</v>
      </c>
      <c r="B8" s="1" t="s">
        <v>8</v>
      </c>
      <c r="C8" s="1">
        <f t="shared" si="0"/>
        <v>16</v>
      </c>
      <c r="D8" s="1">
        <v>0</v>
      </c>
      <c r="E8" s="1">
        <v>2</v>
      </c>
      <c r="F8" s="34">
        <v>4</v>
      </c>
      <c r="G8" s="34">
        <v>4</v>
      </c>
      <c r="H8" s="1">
        <v>0</v>
      </c>
      <c r="I8" s="2"/>
      <c r="J8" s="10"/>
      <c r="K8" s="1">
        <v>0</v>
      </c>
      <c r="L8" s="1">
        <v>2</v>
      </c>
      <c r="M8" s="1">
        <v>0</v>
      </c>
      <c r="N8" s="1">
        <v>0</v>
      </c>
      <c r="O8" s="1">
        <v>0</v>
      </c>
      <c r="P8" s="2"/>
      <c r="Q8" s="2"/>
      <c r="R8" s="1">
        <v>0</v>
      </c>
      <c r="S8" s="1">
        <v>0</v>
      </c>
      <c r="T8" s="1">
        <v>0</v>
      </c>
      <c r="U8" s="1">
        <v>0</v>
      </c>
      <c r="V8" s="1">
        <v>0</v>
      </c>
      <c r="W8" s="2"/>
      <c r="X8" s="2"/>
      <c r="Y8" s="1">
        <v>0</v>
      </c>
      <c r="Z8" s="1">
        <v>1</v>
      </c>
      <c r="AA8" s="1">
        <v>1</v>
      </c>
      <c r="AB8" s="1">
        <v>0</v>
      </c>
      <c r="AC8" s="1">
        <v>1</v>
      </c>
      <c r="AD8" s="2"/>
      <c r="AE8" s="2"/>
      <c r="AF8" s="1">
        <v>0</v>
      </c>
      <c r="AG8" s="1">
        <v>1</v>
      </c>
      <c r="AH8" s="1"/>
    </row>
    <row r="9" spans="1:34">
      <c r="A9" s="1">
        <v>7</v>
      </c>
      <c r="B9" s="1" t="s">
        <v>9</v>
      </c>
      <c r="C9" s="1">
        <f t="shared" si="0"/>
        <v>6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2"/>
      <c r="J9" s="2"/>
      <c r="K9" s="1">
        <v>3</v>
      </c>
      <c r="L9" s="1">
        <v>0</v>
      </c>
      <c r="M9" s="1">
        <v>0</v>
      </c>
      <c r="N9" s="1">
        <v>1</v>
      </c>
      <c r="O9" s="1">
        <v>0</v>
      </c>
      <c r="P9" s="2"/>
      <c r="Q9" s="2"/>
      <c r="R9" s="1">
        <v>0</v>
      </c>
      <c r="S9" s="1">
        <v>0</v>
      </c>
      <c r="T9" s="1">
        <v>0</v>
      </c>
      <c r="U9" s="1">
        <v>0</v>
      </c>
      <c r="V9" s="1">
        <v>0</v>
      </c>
      <c r="W9" s="2"/>
      <c r="X9" s="2"/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"/>
      <c r="AE9" s="2"/>
      <c r="AF9" s="1">
        <v>0</v>
      </c>
      <c r="AG9" s="1">
        <v>0</v>
      </c>
      <c r="AH9" s="1"/>
    </row>
    <row r="10" spans="1:34">
      <c r="A10" s="1">
        <v>8</v>
      </c>
      <c r="B10" s="1" t="s">
        <v>10</v>
      </c>
      <c r="C10" s="1">
        <f t="shared" si="0"/>
        <v>12</v>
      </c>
      <c r="D10" s="1">
        <v>0</v>
      </c>
      <c r="E10" s="1">
        <v>0</v>
      </c>
      <c r="F10" s="34">
        <v>4</v>
      </c>
      <c r="G10" s="34">
        <v>4</v>
      </c>
      <c r="H10" s="34">
        <v>4</v>
      </c>
      <c r="I10" s="2"/>
      <c r="J10" s="2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/>
      <c r="Q10" s="2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/>
      <c r="X10" s="2"/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"/>
      <c r="AE10" s="2"/>
      <c r="AF10" s="1">
        <v>0</v>
      </c>
      <c r="AG10" s="1">
        <v>0</v>
      </c>
      <c r="AH10" s="1"/>
    </row>
    <row r="11" spans="1:34">
      <c r="A11" s="1">
        <v>9</v>
      </c>
      <c r="B11" s="1" t="s">
        <v>11</v>
      </c>
      <c r="C11" s="1">
        <f t="shared" si="0"/>
        <v>93</v>
      </c>
      <c r="D11" s="1">
        <v>0</v>
      </c>
      <c r="E11" s="1">
        <v>2</v>
      </c>
      <c r="F11" s="34">
        <v>4</v>
      </c>
      <c r="G11" s="34">
        <v>4</v>
      </c>
      <c r="H11" s="34">
        <v>4</v>
      </c>
      <c r="I11" s="2"/>
      <c r="J11" s="10">
        <v>2</v>
      </c>
      <c r="K11" s="34">
        <v>4</v>
      </c>
      <c r="L11" s="34">
        <v>4</v>
      </c>
      <c r="M11" s="1">
        <v>0</v>
      </c>
      <c r="N11" s="34">
        <v>4</v>
      </c>
      <c r="O11" s="34">
        <v>1</v>
      </c>
      <c r="P11" s="2"/>
      <c r="Q11" s="2"/>
      <c r="R11" s="34">
        <v>4</v>
      </c>
      <c r="S11" s="34">
        <v>4</v>
      </c>
      <c r="T11" s="34">
        <v>4</v>
      </c>
      <c r="U11" s="34">
        <v>2</v>
      </c>
      <c r="V11" s="34">
        <v>4</v>
      </c>
      <c r="W11" s="34">
        <v>16</v>
      </c>
      <c r="X11" s="2"/>
      <c r="Y11" s="34">
        <v>4</v>
      </c>
      <c r="Z11" s="34">
        <v>4</v>
      </c>
      <c r="AA11" s="34">
        <v>4</v>
      </c>
      <c r="AB11" s="34">
        <v>4</v>
      </c>
      <c r="AC11" s="34">
        <v>4</v>
      </c>
      <c r="AD11" s="2"/>
      <c r="AE11" s="10">
        <v>2</v>
      </c>
      <c r="AF11" s="34">
        <v>4</v>
      </c>
      <c r="AG11" s="34">
        <v>4</v>
      </c>
      <c r="AH11" s="1"/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/>
      <c r="J12" s="10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/>
      <c r="Q12" s="2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/>
      <c r="X12" s="2"/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/>
      <c r="AE12" s="2"/>
      <c r="AF12" s="1">
        <v>0</v>
      </c>
      <c r="AG12" s="1">
        <v>0</v>
      </c>
      <c r="AH12" s="1"/>
    </row>
    <row r="13" spans="1:34">
      <c r="A13" s="1">
        <v>11</v>
      </c>
      <c r="B13" s="1" t="s">
        <v>13</v>
      </c>
      <c r="C13" s="1">
        <f t="shared" si="0"/>
        <v>98</v>
      </c>
      <c r="D13" s="1">
        <v>0</v>
      </c>
      <c r="E13" s="1">
        <v>2</v>
      </c>
      <c r="F13" s="34">
        <v>4</v>
      </c>
      <c r="G13" s="34">
        <v>4</v>
      </c>
      <c r="H13" s="34">
        <v>4</v>
      </c>
      <c r="I13" s="2"/>
      <c r="J13" s="10">
        <v>2</v>
      </c>
      <c r="K13" s="34">
        <v>4</v>
      </c>
      <c r="L13" s="34">
        <v>4</v>
      </c>
      <c r="M13" s="1">
        <v>0</v>
      </c>
      <c r="N13" s="34">
        <v>4</v>
      </c>
      <c r="O13" s="34">
        <v>4</v>
      </c>
      <c r="P13" s="2"/>
      <c r="Q13" s="2"/>
      <c r="R13" s="34">
        <v>4</v>
      </c>
      <c r="S13" s="34">
        <v>4</v>
      </c>
      <c r="T13" s="34">
        <v>4</v>
      </c>
      <c r="U13" s="34">
        <v>4</v>
      </c>
      <c r="V13" s="34">
        <v>4</v>
      </c>
      <c r="W13" s="34">
        <v>16</v>
      </c>
      <c r="X13" s="2"/>
      <c r="Y13" s="34">
        <v>4</v>
      </c>
      <c r="Z13" s="34">
        <v>4</v>
      </c>
      <c r="AA13" s="34">
        <v>4</v>
      </c>
      <c r="AB13" s="34">
        <v>4</v>
      </c>
      <c r="AC13" s="34">
        <v>4</v>
      </c>
      <c r="AD13" s="2"/>
      <c r="AE13" s="10">
        <v>2</v>
      </c>
      <c r="AF13" s="34">
        <v>4</v>
      </c>
      <c r="AG13" s="34">
        <v>4</v>
      </c>
      <c r="AH13" s="1"/>
    </row>
    <row r="14" spans="1:34">
      <c r="A14" s="1">
        <v>12</v>
      </c>
      <c r="B14" s="1" t="s">
        <v>14</v>
      </c>
      <c r="C14" s="1">
        <f t="shared" si="0"/>
        <v>52</v>
      </c>
      <c r="D14" s="1">
        <v>0</v>
      </c>
      <c r="E14" s="1">
        <v>2</v>
      </c>
      <c r="F14" s="34">
        <v>4</v>
      </c>
      <c r="G14" s="34">
        <v>4</v>
      </c>
      <c r="H14" s="34">
        <v>4</v>
      </c>
      <c r="I14" s="2"/>
      <c r="J14" s="10">
        <v>2</v>
      </c>
      <c r="K14" s="34">
        <v>4</v>
      </c>
      <c r="L14" s="34">
        <v>4</v>
      </c>
      <c r="M14" s="1">
        <v>0</v>
      </c>
      <c r="N14" s="34">
        <v>4</v>
      </c>
      <c r="O14" s="34">
        <v>4</v>
      </c>
      <c r="P14" s="2"/>
      <c r="Q14" s="2"/>
      <c r="R14" s="34">
        <v>4</v>
      </c>
      <c r="S14" s="34">
        <v>4</v>
      </c>
      <c r="T14" s="1">
        <v>0</v>
      </c>
      <c r="U14" s="1">
        <v>0</v>
      </c>
      <c r="V14" s="1">
        <v>0</v>
      </c>
      <c r="W14" s="2"/>
      <c r="X14" s="2"/>
      <c r="Y14" s="1">
        <v>0</v>
      </c>
      <c r="Z14" s="1">
        <v>0</v>
      </c>
      <c r="AA14" s="1">
        <v>0</v>
      </c>
      <c r="AB14" s="34">
        <v>4</v>
      </c>
      <c r="AC14" s="34">
        <v>4</v>
      </c>
      <c r="AD14" s="2"/>
      <c r="AE14" s="2"/>
      <c r="AF14" s="34">
        <v>4</v>
      </c>
      <c r="AG14" s="1">
        <v>0</v>
      </c>
      <c r="AH14" s="1"/>
    </row>
    <row r="15" spans="1:34" ht="16.25" customHeight="1">
      <c r="A15" s="1">
        <v>13</v>
      </c>
      <c r="B15" s="1" t="s">
        <v>16</v>
      </c>
      <c r="C15" s="1">
        <f t="shared" si="0"/>
        <v>57</v>
      </c>
      <c r="D15" s="1">
        <v>0</v>
      </c>
      <c r="E15" s="1">
        <v>2</v>
      </c>
      <c r="F15" s="34">
        <v>8</v>
      </c>
      <c r="G15" s="34">
        <v>8</v>
      </c>
      <c r="H15" s="34">
        <v>4</v>
      </c>
      <c r="I15" s="2"/>
      <c r="J15" s="2"/>
      <c r="K15" s="34">
        <v>8</v>
      </c>
      <c r="L15" s="1">
        <v>2</v>
      </c>
      <c r="M15" s="34">
        <v>8</v>
      </c>
      <c r="N15" s="34">
        <v>8</v>
      </c>
      <c r="O15" s="1">
        <v>0</v>
      </c>
      <c r="P15" s="2"/>
      <c r="Q15" s="2"/>
      <c r="R15" s="1">
        <v>0</v>
      </c>
      <c r="S15" s="1">
        <v>2</v>
      </c>
      <c r="T15" s="1">
        <v>0</v>
      </c>
      <c r="U15" s="1">
        <v>0</v>
      </c>
      <c r="V15" s="1">
        <v>0</v>
      </c>
      <c r="W15" s="2"/>
      <c r="X15" s="2"/>
      <c r="Y15" s="1">
        <v>2</v>
      </c>
      <c r="Z15" s="1">
        <v>0</v>
      </c>
      <c r="AA15" s="1">
        <v>0</v>
      </c>
      <c r="AB15" s="1">
        <v>0</v>
      </c>
      <c r="AC15" s="1">
        <v>1</v>
      </c>
      <c r="AD15" s="2"/>
      <c r="AE15" s="2"/>
      <c r="AF15" s="1">
        <v>0</v>
      </c>
      <c r="AG15" s="1">
        <v>4</v>
      </c>
      <c r="AH15" s="1"/>
    </row>
    <row r="16" spans="1:34">
      <c r="A16" s="1">
        <v>14</v>
      </c>
      <c r="B16" s="1" t="s">
        <v>60</v>
      </c>
      <c r="C16" s="1">
        <f t="shared" si="0"/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/>
      <c r="J16" s="2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2"/>
      <c r="Q16" s="2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/>
      <c r="X16" s="2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/>
      <c r="AE16" s="2"/>
      <c r="AF16" s="1">
        <v>0</v>
      </c>
      <c r="AG16" s="1">
        <v>0</v>
      </c>
      <c r="AH16" s="1"/>
    </row>
    <row r="17" spans="1:34">
      <c r="A17" s="1">
        <v>15</v>
      </c>
      <c r="B17" s="1" t="s">
        <v>66</v>
      </c>
      <c r="C17" s="1">
        <f t="shared" si="0"/>
        <v>10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2"/>
      <c r="J17" s="2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2"/>
      <c r="Q17" s="2"/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2"/>
      <c r="X17" s="2"/>
      <c r="Y17" s="1">
        <v>0</v>
      </c>
      <c r="Z17" s="1">
        <v>9</v>
      </c>
      <c r="AA17" s="1">
        <v>0</v>
      </c>
      <c r="AB17" s="1">
        <v>0</v>
      </c>
      <c r="AC17" s="1">
        <v>0</v>
      </c>
      <c r="AD17" s="2"/>
      <c r="AE17" s="2"/>
      <c r="AF17" s="1">
        <v>0</v>
      </c>
      <c r="AG17" s="1">
        <v>0</v>
      </c>
      <c r="AH17" s="14"/>
    </row>
    <row r="18" spans="1:34">
      <c r="A18" s="1">
        <v>16</v>
      </c>
      <c r="B18" s="1" t="s">
        <v>87</v>
      </c>
      <c r="C18" s="1">
        <f t="shared" si="0"/>
        <v>10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2"/>
      <c r="J18" s="2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2"/>
      <c r="Q18" s="2"/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2"/>
      <c r="X18" s="2"/>
      <c r="Y18" s="1">
        <v>0</v>
      </c>
      <c r="Z18" s="1">
        <v>9</v>
      </c>
      <c r="AA18" s="1">
        <v>0</v>
      </c>
      <c r="AB18" s="1">
        <v>0</v>
      </c>
      <c r="AC18" s="1">
        <v>0</v>
      </c>
      <c r="AD18" s="2"/>
      <c r="AE18" s="2"/>
      <c r="AF18" s="1">
        <v>0</v>
      </c>
      <c r="AG18" s="1">
        <v>0</v>
      </c>
      <c r="AH18" s="14"/>
    </row>
    <row r="19" spans="1:34">
      <c r="A19" s="1">
        <v>17</v>
      </c>
      <c r="B19" s="1" t="s">
        <v>104</v>
      </c>
      <c r="C19" s="1">
        <f t="shared" si="0"/>
        <v>1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2"/>
      <c r="J19" s="2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2"/>
      <c r="Q19" s="2"/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2"/>
      <c r="X19" s="2"/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2"/>
      <c r="AE19" s="2"/>
      <c r="AF19" s="1">
        <v>0</v>
      </c>
      <c r="AG19" s="1">
        <v>0</v>
      </c>
      <c r="AH19" s="14"/>
    </row>
    <row r="20" spans="1:34">
      <c r="A20" s="1">
        <v>18</v>
      </c>
      <c r="B20" s="1" t="s">
        <v>139</v>
      </c>
      <c r="C20" s="1">
        <f t="shared" si="0"/>
        <v>19</v>
      </c>
      <c r="D20" s="1">
        <v>0</v>
      </c>
      <c r="E20" s="1">
        <v>2</v>
      </c>
      <c r="F20" s="34">
        <v>4</v>
      </c>
      <c r="G20" s="34">
        <v>4</v>
      </c>
      <c r="H20" s="34">
        <v>4</v>
      </c>
      <c r="I20" s="2"/>
      <c r="J20" s="10"/>
      <c r="K20" s="1">
        <v>0</v>
      </c>
      <c r="L20" s="1">
        <v>2</v>
      </c>
      <c r="M20" s="1">
        <v>0</v>
      </c>
      <c r="N20" s="1">
        <v>0</v>
      </c>
      <c r="O20" s="1">
        <v>0</v>
      </c>
      <c r="P20" s="2"/>
      <c r="Q20" s="2"/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2"/>
      <c r="X20" s="2"/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2"/>
      <c r="AE20" s="2"/>
      <c r="AF20" s="1">
        <v>0</v>
      </c>
      <c r="AG20" s="1">
        <v>3</v>
      </c>
      <c r="AH20" s="14"/>
    </row>
    <row r="22" spans="1:34">
      <c r="A22" s="35"/>
      <c r="B22" s="4" t="s">
        <v>141</v>
      </c>
    </row>
    <row r="23" spans="1:34">
      <c r="A23" t="s">
        <v>144</v>
      </c>
    </row>
    <row r="24" spans="1:34">
      <c r="A24" s="38" t="s">
        <v>147</v>
      </c>
      <c r="M24" t="s">
        <v>138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5:B20">
    <cfRule type="duplicateValues" dxfId="16" priority="3"/>
  </conditionalFormatting>
  <conditionalFormatting sqref="B22">
    <cfRule type="duplicateValues" dxfId="15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31"/>
  <sheetViews>
    <sheetView zoomScaleNormal="100" workbookViewId="0">
      <selection activeCell="AG1" activeCellId="1" sqref="X1:X1048576 AG1:AG1048576"/>
    </sheetView>
  </sheetViews>
  <sheetFormatPr baseColWidth="10" defaultColWidth="8.83203125" defaultRowHeight="15"/>
  <cols>
    <col min="3" max="33" width="8.83203125" customWidth="1"/>
  </cols>
  <sheetData>
    <row r="1" spans="1:33" ht="27">
      <c r="A1" s="70" t="s">
        <v>0</v>
      </c>
      <c r="B1" s="70"/>
      <c r="C1" s="68">
        <v>45566</v>
      </c>
      <c r="D1" s="68">
        <v>45567</v>
      </c>
      <c r="E1" s="68">
        <v>45568</v>
      </c>
      <c r="F1" s="68">
        <v>45569</v>
      </c>
      <c r="G1" s="68">
        <v>45570</v>
      </c>
      <c r="H1" s="68">
        <v>45571</v>
      </c>
      <c r="I1" s="68">
        <v>45572</v>
      </c>
      <c r="J1" s="68">
        <v>45573</v>
      </c>
      <c r="K1" s="68">
        <v>45574</v>
      </c>
      <c r="L1" s="68">
        <v>45575</v>
      </c>
      <c r="M1" s="68">
        <v>45576</v>
      </c>
      <c r="N1" s="68">
        <v>45577</v>
      </c>
      <c r="O1" s="68">
        <v>45578</v>
      </c>
      <c r="P1" s="68">
        <v>45579</v>
      </c>
      <c r="Q1" s="68">
        <v>45580</v>
      </c>
      <c r="R1" s="68">
        <v>45581</v>
      </c>
      <c r="S1" s="68">
        <v>45582</v>
      </c>
      <c r="T1" s="68">
        <v>45583</v>
      </c>
      <c r="U1" s="68">
        <v>45584</v>
      </c>
      <c r="V1" s="68">
        <v>45585</v>
      </c>
      <c r="W1" s="68">
        <v>45586</v>
      </c>
      <c r="X1" s="68">
        <v>45587</v>
      </c>
      <c r="Y1" s="68">
        <v>45588</v>
      </c>
      <c r="Z1" s="68">
        <v>45589</v>
      </c>
      <c r="AA1" s="68">
        <v>45590</v>
      </c>
      <c r="AB1" s="68">
        <v>45591</v>
      </c>
      <c r="AC1" s="68">
        <v>45592</v>
      </c>
      <c r="AD1" s="68">
        <v>45593</v>
      </c>
      <c r="AE1" s="68">
        <v>45594</v>
      </c>
      <c r="AF1" s="68">
        <v>45595</v>
      </c>
      <c r="AG1" s="68">
        <v>45596</v>
      </c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>
      <c r="A3" s="1">
        <v>1</v>
      </c>
      <c r="B3" s="1" t="s">
        <v>3</v>
      </c>
      <c r="C3" s="4" t="s">
        <v>50</v>
      </c>
      <c r="D3" s="4" t="s">
        <v>50</v>
      </c>
      <c r="E3" s="17" t="s">
        <v>92</v>
      </c>
      <c r="F3" s="23"/>
      <c r="G3" s="2"/>
      <c r="H3" s="2"/>
      <c r="I3" s="17" t="s">
        <v>92</v>
      </c>
      <c r="J3" s="17" t="s">
        <v>92</v>
      </c>
      <c r="K3" s="17" t="s">
        <v>92</v>
      </c>
      <c r="L3" s="2"/>
      <c r="M3" s="23"/>
      <c r="N3" s="2"/>
      <c r="O3" s="17" t="s">
        <v>92</v>
      </c>
      <c r="P3" s="17" t="s">
        <v>92</v>
      </c>
      <c r="Q3" s="17" t="s">
        <v>92</v>
      </c>
      <c r="R3" s="17" t="s">
        <v>92</v>
      </c>
      <c r="S3" s="17" t="s">
        <v>92</v>
      </c>
      <c r="T3" s="23"/>
      <c r="U3" s="2"/>
      <c r="V3" s="17" t="s">
        <v>92</v>
      </c>
      <c r="W3" s="17" t="s">
        <v>92</v>
      </c>
      <c r="X3" s="17" t="s">
        <v>92</v>
      </c>
      <c r="Y3" s="17" t="s">
        <v>92</v>
      </c>
      <c r="Z3" s="2"/>
      <c r="AA3" s="23"/>
      <c r="AB3" s="2"/>
      <c r="AC3" s="17" t="s">
        <v>92</v>
      </c>
      <c r="AD3" s="17" t="s">
        <v>92</v>
      </c>
      <c r="AE3" s="17" t="s">
        <v>92</v>
      </c>
      <c r="AF3" s="17" t="s">
        <v>92</v>
      </c>
      <c r="AG3" s="17" t="s">
        <v>92</v>
      </c>
    </row>
    <row r="4" spans="1:33" ht="18">
      <c r="A4" s="1">
        <v>2</v>
      </c>
      <c r="B4" s="1" t="s">
        <v>4</v>
      </c>
      <c r="C4" s="16" t="s">
        <v>25</v>
      </c>
      <c r="D4" s="16" t="s">
        <v>25</v>
      </c>
      <c r="E4" s="16" t="s">
        <v>25</v>
      </c>
      <c r="F4" s="2"/>
      <c r="G4" s="2"/>
      <c r="H4" s="2"/>
      <c r="I4" s="16" t="s">
        <v>25</v>
      </c>
      <c r="J4" s="16" t="s">
        <v>25</v>
      </c>
      <c r="K4" s="16" t="s">
        <v>25</v>
      </c>
      <c r="L4" s="2"/>
      <c r="M4" s="2"/>
      <c r="N4" s="2"/>
      <c r="O4" s="4" t="s">
        <v>50</v>
      </c>
      <c r="P4" s="16" t="s">
        <v>25</v>
      </c>
      <c r="Q4" s="16" t="s">
        <v>25</v>
      </c>
      <c r="R4" s="16" t="s">
        <v>25</v>
      </c>
      <c r="S4" s="16" t="s">
        <v>25</v>
      </c>
      <c r="T4" s="2"/>
      <c r="U4" s="2"/>
      <c r="V4" s="16" t="s">
        <v>25</v>
      </c>
      <c r="W4" s="16" t="s">
        <v>25</v>
      </c>
      <c r="X4" s="16" t="s">
        <v>25</v>
      </c>
      <c r="Y4" s="16" t="s">
        <v>25</v>
      </c>
      <c r="Z4" s="2"/>
      <c r="AA4" s="2"/>
      <c r="AB4" s="2"/>
      <c r="AC4" s="16" t="s">
        <v>25</v>
      </c>
      <c r="AD4" s="16" t="s">
        <v>25</v>
      </c>
      <c r="AE4" s="16" t="s">
        <v>25</v>
      </c>
      <c r="AF4" s="16" t="s">
        <v>25</v>
      </c>
      <c r="AG4" s="16" t="s">
        <v>25</v>
      </c>
    </row>
    <row r="5" spans="1:33" ht="18">
      <c r="A5" s="1">
        <v>3</v>
      </c>
      <c r="B5" s="1" t="s">
        <v>5</v>
      </c>
      <c r="C5" s="16" t="s">
        <v>25</v>
      </c>
      <c r="D5" s="16" t="s">
        <v>25</v>
      </c>
      <c r="E5" s="16" t="s">
        <v>25</v>
      </c>
      <c r="F5" s="2"/>
      <c r="G5" s="2"/>
      <c r="H5" s="2"/>
      <c r="I5" s="16" t="s">
        <v>25</v>
      </c>
      <c r="J5" s="16" t="s">
        <v>25</v>
      </c>
      <c r="K5" s="4" t="s">
        <v>50</v>
      </c>
      <c r="L5" s="2"/>
      <c r="M5" s="2"/>
      <c r="N5" s="2"/>
      <c r="O5" s="16" t="s">
        <v>25</v>
      </c>
      <c r="P5" s="16" t="s">
        <v>25</v>
      </c>
      <c r="Q5" s="16" t="s">
        <v>25</v>
      </c>
      <c r="R5" s="16" t="s">
        <v>25</v>
      </c>
      <c r="S5" s="16" t="s">
        <v>25</v>
      </c>
      <c r="T5" s="2"/>
      <c r="U5" s="2"/>
      <c r="V5" s="16" t="s">
        <v>25</v>
      </c>
      <c r="W5" s="16" t="s">
        <v>25</v>
      </c>
      <c r="X5" s="16" t="s">
        <v>25</v>
      </c>
      <c r="Y5" s="16" t="s">
        <v>25</v>
      </c>
      <c r="Z5" s="2"/>
      <c r="AA5" s="2"/>
      <c r="AB5" s="2"/>
      <c r="AC5" s="16" t="s">
        <v>25</v>
      </c>
      <c r="AD5" s="16" t="s">
        <v>25</v>
      </c>
      <c r="AE5" s="16" t="s">
        <v>25</v>
      </c>
      <c r="AF5" s="16" t="s">
        <v>25</v>
      </c>
      <c r="AG5" s="16" t="s">
        <v>25</v>
      </c>
    </row>
    <row r="6" spans="1:33" ht="18">
      <c r="A6" s="1">
        <v>4</v>
      </c>
      <c r="B6" s="1" t="s">
        <v>6</v>
      </c>
      <c r="C6" s="16" t="s">
        <v>25</v>
      </c>
      <c r="D6" s="16" t="s">
        <v>25</v>
      </c>
      <c r="E6" s="17" t="s">
        <v>145</v>
      </c>
      <c r="F6" s="2"/>
      <c r="G6" s="2"/>
      <c r="H6" s="2"/>
      <c r="I6" s="16" t="s">
        <v>25</v>
      </c>
      <c r="J6" s="16" t="s">
        <v>25</v>
      </c>
      <c r="K6" s="1" t="s">
        <v>62</v>
      </c>
      <c r="L6" s="2"/>
      <c r="M6" s="2"/>
      <c r="N6" s="2"/>
      <c r="O6" s="16" t="s">
        <v>25</v>
      </c>
      <c r="P6" s="16" t="s">
        <v>25</v>
      </c>
      <c r="Q6" s="16" t="s">
        <v>25</v>
      </c>
      <c r="R6" s="16" t="s">
        <v>25</v>
      </c>
      <c r="S6" s="16" t="s">
        <v>25</v>
      </c>
      <c r="T6" s="2"/>
      <c r="U6" s="2"/>
      <c r="V6" s="4" t="s">
        <v>50</v>
      </c>
      <c r="W6" s="16" t="s">
        <v>25</v>
      </c>
      <c r="X6" s="16" t="s">
        <v>25</v>
      </c>
      <c r="Y6" s="16" t="s">
        <v>25</v>
      </c>
      <c r="Z6" s="2"/>
      <c r="AA6" s="2"/>
      <c r="AB6" s="2"/>
      <c r="AC6" s="16" t="s">
        <v>25</v>
      </c>
      <c r="AD6" s="16" t="s">
        <v>25</v>
      </c>
      <c r="AE6" s="16" t="s">
        <v>25</v>
      </c>
      <c r="AF6" s="16" t="s">
        <v>25</v>
      </c>
      <c r="AG6" s="17" t="s">
        <v>92</v>
      </c>
    </row>
    <row r="7" spans="1:33">
      <c r="A7" s="1">
        <v>5</v>
      </c>
      <c r="B7" s="1" t="s">
        <v>7</v>
      </c>
      <c r="C7" s="17" t="s">
        <v>92</v>
      </c>
      <c r="D7" s="17" t="s">
        <v>92</v>
      </c>
      <c r="E7" s="17" t="s">
        <v>92</v>
      </c>
      <c r="F7" s="2"/>
      <c r="G7" s="2"/>
      <c r="H7" s="2"/>
      <c r="I7" s="17" t="s">
        <v>92</v>
      </c>
      <c r="J7" s="17" t="s">
        <v>92</v>
      </c>
      <c r="K7" s="17" t="s">
        <v>92</v>
      </c>
      <c r="L7" s="2"/>
      <c r="M7" s="2"/>
      <c r="N7" s="2"/>
      <c r="O7" s="17" t="s">
        <v>92</v>
      </c>
      <c r="P7" s="17" t="s">
        <v>92</v>
      </c>
      <c r="Q7" s="17" t="s">
        <v>92</v>
      </c>
      <c r="R7" s="17" t="s">
        <v>92</v>
      </c>
      <c r="S7" s="17" t="s">
        <v>92</v>
      </c>
      <c r="T7" s="2"/>
      <c r="U7" s="2"/>
      <c r="V7" s="17" t="s">
        <v>92</v>
      </c>
      <c r="W7" s="17" t="s">
        <v>92</v>
      </c>
      <c r="X7" s="17" t="s">
        <v>92</v>
      </c>
      <c r="Y7" s="17" t="s">
        <v>92</v>
      </c>
      <c r="Z7" s="2"/>
      <c r="AA7" s="2"/>
      <c r="AB7" s="2"/>
      <c r="AC7" s="17" t="s">
        <v>92</v>
      </c>
      <c r="AD7" s="17" t="s">
        <v>92</v>
      </c>
      <c r="AE7" s="17" t="s">
        <v>92</v>
      </c>
      <c r="AF7" s="17" t="s">
        <v>92</v>
      </c>
      <c r="AG7" s="17" t="s">
        <v>92</v>
      </c>
    </row>
    <row r="8" spans="1:33" ht="18">
      <c r="A8" s="1">
        <v>6</v>
      </c>
      <c r="B8" s="1" t="s">
        <v>8</v>
      </c>
      <c r="C8" s="16" t="s">
        <v>25</v>
      </c>
      <c r="D8" s="16" t="s">
        <v>25</v>
      </c>
      <c r="E8" s="16" t="s">
        <v>25</v>
      </c>
      <c r="F8" s="2"/>
      <c r="G8" s="2"/>
      <c r="H8" s="2"/>
      <c r="I8" s="16" t="s">
        <v>25</v>
      </c>
      <c r="J8" s="4" t="s">
        <v>50</v>
      </c>
      <c r="K8" s="1" t="s">
        <v>62</v>
      </c>
      <c r="L8" s="2"/>
      <c r="M8" s="2"/>
      <c r="N8" s="2"/>
      <c r="O8" s="4" t="s">
        <v>50</v>
      </c>
      <c r="P8" s="1" t="s">
        <v>62</v>
      </c>
      <c r="Q8" s="1" t="s">
        <v>62</v>
      </c>
      <c r="R8" s="4" t="s">
        <v>50</v>
      </c>
      <c r="S8" s="1" t="s">
        <v>62</v>
      </c>
      <c r="T8" s="2"/>
      <c r="U8" s="2"/>
      <c r="V8" s="16" t="s">
        <v>25</v>
      </c>
      <c r="W8" s="16" t="s">
        <v>25</v>
      </c>
      <c r="X8" s="16" t="s">
        <v>25</v>
      </c>
      <c r="Y8" s="16" t="s">
        <v>25</v>
      </c>
      <c r="Z8" s="2"/>
      <c r="AA8" s="2"/>
      <c r="AB8" s="2"/>
      <c r="AC8" s="16" t="s">
        <v>25</v>
      </c>
      <c r="AD8" s="16" t="s">
        <v>25</v>
      </c>
      <c r="AE8" s="16" t="s">
        <v>25</v>
      </c>
      <c r="AF8" s="16" t="s">
        <v>25</v>
      </c>
      <c r="AG8" s="1"/>
    </row>
    <row r="9" spans="1:33" ht="18">
      <c r="A9" s="1">
        <v>7</v>
      </c>
      <c r="B9" s="1" t="s">
        <v>9</v>
      </c>
      <c r="C9" s="37" t="s">
        <v>25</v>
      </c>
      <c r="D9" s="17" t="s">
        <v>145</v>
      </c>
      <c r="E9" s="17" t="s">
        <v>145</v>
      </c>
      <c r="F9" s="23"/>
      <c r="G9" s="2"/>
      <c r="H9" s="2"/>
      <c r="I9" s="16" t="s">
        <v>25</v>
      </c>
      <c r="J9" s="16" t="s">
        <v>25</v>
      </c>
      <c r="K9" s="17" t="s">
        <v>92</v>
      </c>
      <c r="L9" s="2"/>
      <c r="M9" s="23"/>
      <c r="N9" s="2"/>
      <c r="O9" s="17" t="s">
        <v>92</v>
      </c>
      <c r="P9" s="17" t="s">
        <v>92</v>
      </c>
      <c r="Q9" s="17" t="s">
        <v>92</v>
      </c>
      <c r="R9" s="17" t="s">
        <v>92</v>
      </c>
      <c r="S9" s="17" t="s">
        <v>92</v>
      </c>
      <c r="T9" s="23"/>
      <c r="U9" s="2"/>
      <c r="V9" s="17" t="s">
        <v>92</v>
      </c>
      <c r="W9" s="17" t="s">
        <v>92</v>
      </c>
      <c r="X9" s="17" t="s">
        <v>92</v>
      </c>
      <c r="Y9" s="17" t="s">
        <v>92</v>
      </c>
      <c r="Z9" s="2"/>
      <c r="AA9" s="23"/>
      <c r="AB9" s="2"/>
      <c r="AC9" s="17" t="s">
        <v>92</v>
      </c>
      <c r="AD9" s="17" t="s">
        <v>92</v>
      </c>
      <c r="AE9" s="17" t="s">
        <v>92</v>
      </c>
      <c r="AF9" s="17" t="s">
        <v>92</v>
      </c>
      <c r="AG9" s="17" t="s">
        <v>92</v>
      </c>
    </row>
    <row r="10" spans="1:33" ht="18">
      <c r="A10" s="1">
        <v>8</v>
      </c>
      <c r="B10" s="1" t="s">
        <v>10</v>
      </c>
      <c r="C10" s="16" t="s">
        <v>25</v>
      </c>
      <c r="D10" s="16" t="s">
        <v>25</v>
      </c>
      <c r="E10" s="16" t="s">
        <v>25</v>
      </c>
      <c r="F10" s="2"/>
      <c r="G10" s="2"/>
      <c r="H10" s="2"/>
      <c r="I10" s="16" t="s">
        <v>25</v>
      </c>
      <c r="J10" s="1" t="s">
        <v>62</v>
      </c>
      <c r="K10" s="16" t="s">
        <v>25</v>
      </c>
      <c r="L10" s="2"/>
      <c r="M10" s="2"/>
      <c r="N10" s="2"/>
      <c r="O10" s="16" t="s">
        <v>25</v>
      </c>
      <c r="P10" s="16" t="s">
        <v>25</v>
      </c>
      <c r="Q10" s="16" t="s">
        <v>25</v>
      </c>
      <c r="R10" s="16" t="s">
        <v>25</v>
      </c>
      <c r="S10" s="16" t="s">
        <v>25</v>
      </c>
      <c r="T10" s="2"/>
      <c r="U10" s="2"/>
      <c r="V10" s="17" t="s">
        <v>62</v>
      </c>
      <c r="W10" s="17" t="s">
        <v>92</v>
      </c>
      <c r="X10" s="17" t="s">
        <v>92</v>
      </c>
      <c r="Y10" s="17" t="s">
        <v>92</v>
      </c>
      <c r="Z10" s="19" t="s">
        <v>92</v>
      </c>
      <c r="AA10" s="2"/>
      <c r="AB10" s="2"/>
      <c r="AC10" s="17" t="s">
        <v>92</v>
      </c>
      <c r="AD10" s="17" t="s">
        <v>92</v>
      </c>
      <c r="AE10" s="17" t="s">
        <v>92</v>
      </c>
      <c r="AF10" s="17" t="s">
        <v>92</v>
      </c>
      <c r="AG10" s="17" t="s">
        <v>92</v>
      </c>
    </row>
    <row r="11" spans="1:33">
      <c r="A11" s="1">
        <v>9</v>
      </c>
      <c r="B11" s="1" t="s">
        <v>11</v>
      </c>
      <c r="C11" s="17" t="s">
        <v>92</v>
      </c>
      <c r="D11" s="17" t="s">
        <v>92</v>
      </c>
      <c r="E11" s="17" t="s">
        <v>92</v>
      </c>
      <c r="F11" s="2"/>
      <c r="G11" s="2"/>
      <c r="H11" s="2"/>
      <c r="I11" s="17" t="s">
        <v>92</v>
      </c>
      <c r="J11" s="17" t="s">
        <v>92</v>
      </c>
      <c r="K11" s="17" t="s">
        <v>92</v>
      </c>
      <c r="L11" s="2"/>
      <c r="M11" s="2"/>
      <c r="N11" s="2"/>
      <c r="O11" s="17" t="s">
        <v>92</v>
      </c>
      <c r="P11" s="17" t="s">
        <v>92</v>
      </c>
      <c r="Q11" s="17" t="s">
        <v>92</v>
      </c>
      <c r="R11" s="17" t="s">
        <v>92</v>
      </c>
      <c r="S11" s="17" t="s">
        <v>92</v>
      </c>
      <c r="T11" s="2"/>
      <c r="U11" s="2"/>
      <c r="V11" s="17" t="s">
        <v>92</v>
      </c>
      <c r="W11" s="17" t="s">
        <v>92</v>
      </c>
      <c r="X11" s="17" t="s">
        <v>92</v>
      </c>
      <c r="Y11" s="17" t="s">
        <v>92</v>
      </c>
      <c r="Z11" s="2"/>
      <c r="AA11" s="2"/>
      <c r="AB11" s="2"/>
      <c r="AC11" s="17" t="s">
        <v>92</v>
      </c>
      <c r="AD11" s="17" t="s">
        <v>92</v>
      </c>
      <c r="AE11" s="17" t="s">
        <v>92</v>
      </c>
      <c r="AF11" s="17" t="s">
        <v>92</v>
      </c>
      <c r="AG11" s="17" t="s">
        <v>92</v>
      </c>
    </row>
    <row r="12" spans="1:33" ht="18">
      <c r="A12" s="1">
        <v>10</v>
      </c>
      <c r="B12" s="1" t="s">
        <v>12</v>
      </c>
      <c r="C12" s="16" t="s">
        <v>25</v>
      </c>
      <c r="D12" s="16" t="s">
        <v>25</v>
      </c>
      <c r="E12" s="16" t="s">
        <v>25</v>
      </c>
      <c r="F12" s="2"/>
      <c r="G12" s="2"/>
      <c r="H12" s="2"/>
      <c r="I12" s="16" t="s">
        <v>25</v>
      </c>
      <c r="J12" s="16" t="s">
        <v>25</v>
      </c>
      <c r="K12" s="16" t="s">
        <v>25</v>
      </c>
      <c r="L12" s="2"/>
      <c r="M12" s="2"/>
      <c r="N12" s="2"/>
      <c r="O12" s="16" t="s">
        <v>25</v>
      </c>
      <c r="P12" s="16" t="s">
        <v>25</v>
      </c>
      <c r="Q12" s="16" t="s">
        <v>25</v>
      </c>
      <c r="R12" s="16" t="s">
        <v>25</v>
      </c>
      <c r="S12" s="16" t="s">
        <v>25</v>
      </c>
      <c r="T12" s="2"/>
      <c r="U12" s="2"/>
      <c r="V12" s="16" t="s">
        <v>25</v>
      </c>
      <c r="W12" s="16" t="s">
        <v>25</v>
      </c>
      <c r="X12" s="16" t="s">
        <v>25</v>
      </c>
      <c r="Y12" s="16" t="s">
        <v>25</v>
      </c>
      <c r="Z12" s="2"/>
      <c r="AA12" s="2"/>
      <c r="AB12" s="2"/>
      <c r="AC12" s="16" t="s">
        <v>25</v>
      </c>
      <c r="AD12" s="16" t="s">
        <v>25</v>
      </c>
      <c r="AE12" s="16" t="s">
        <v>25</v>
      </c>
      <c r="AF12" s="16" t="s">
        <v>25</v>
      </c>
      <c r="AG12" s="16" t="s">
        <v>25</v>
      </c>
    </row>
    <row r="13" spans="1:33">
      <c r="A13" s="1">
        <v>11</v>
      </c>
      <c r="B13" s="1" t="s">
        <v>13</v>
      </c>
      <c r="C13" s="17" t="s">
        <v>92</v>
      </c>
      <c r="D13" s="17" t="s">
        <v>92</v>
      </c>
      <c r="E13" s="17" t="s">
        <v>92</v>
      </c>
      <c r="F13" s="2"/>
      <c r="G13" s="2"/>
      <c r="H13" s="2"/>
      <c r="I13" s="17" t="s">
        <v>92</v>
      </c>
      <c r="J13" s="17" t="s">
        <v>92</v>
      </c>
      <c r="K13" s="17" t="s">
        <v>92</v>
      </c>
      <c r="L13" s="2"/>
      <c r="M13" s="2"/>
      <c r="N13" s="2"/>
      <c r="O13" s="17" t="s">
        <v>92</v>
      </c>
      <c r="P13" s="17" t="s">
        <v>92</v>
      </c>
      <c r="Q13" s="17" t="s">
        <v>92</v>
      </c>
      <c r="R13" s="17" t="s">
        <v>92</v>
      </c>
      <c r="S13" s="17" t="s">
        <v>92</v>
      </c>
      <c r="T13" s="2"/>
      <c r="U13" s="2"/>
      <c r="V13" s="17" t="s">
        <v>92</v>
      </c>
      <c r="W13" s="17" t="s">
        <v>92</v>
      </c>
      <c r="X13" s="17" t="s">
        <v>92</v>
      </c>
      <c r="Y13" s="17" t="s">
        <v>92</v>
      </c>
      <c r="Z13" s="2"/>
      <c r="AA13" s="2"/>
      <c r="AB13" s="2"/>
      <c r="AC13" s="17" t="s">
        <v>92</v>
      </c>
      <c r="AD13" s="17" t="s">
        <v>92</v>
      </c>
      <c r="AE13" s="17" t="s">
        <v>92</v>
      </c>
      <c r="AF13" s="17" t="s">
        <v>92</v>
      </c>
      <c r="AG13" s="17" t="s">
        <v>92</v>
      </c>
    </row>
    <row r="14" spans="1:33">
      <c r="A14" s="1">
        <v>12</v>
      </c>
      <c r="B14" s="1" t="s">
        <v>14</v>
      </c>
      <c r="C14" s="17" t="s">
        <v>92</v>
      </c>
      <c r="D14" s="17" t="s">
        <v>92</v>
      </c>
      <c r="E14" s="17" t="s">
        <v>92</v>
      </c>
      <c r="F14" s="2"/>
      <c r="G14" s="2"/>
      <c r="H14" s="2"/>
      <c r="I14" s="17" t="s">
        <v>92</v>
      </c>
      <c r="J14" s="1" t="s">
        <v>62</v>
      </c>
      <c r="K14" s="17" t="s">
        <v>92</v>
      </c>
      <c r="L14" s="2"/>
      <c r="M14" s="2"/>
      <c r="N14" s="2"/>
      <c r="O14" s="17" t="s">
        <v>92</v>
      </c>
      <c r="P14" s="17" t="s">
        <v>92</v>
      </c>
      <c r="Q14" s="17" t="s">
        <v>92</v>
      </c>
      <c r="R14" s="17" t="s">
        <v>92</v>
      </c>
      <c r="S14" s="17" t="s">
        <v>92</v>
      </c>
      <c r="T14" s="2"/>
      <c r="U14" s="2"/>
      <c r="V14" s="17" t="s">
        <v>92</v>
      </c>
      <c r="W14" s="17" t="s">
        <v>92</v>
      </c>
      <c r="X14" s="17" t="s">
        <v>92</v>
      </c>
      <c r="Y14" s="17" t="s">
        <v>92</v>
      </c>
      <c r="Z14" s="2"/>
      <c r="AA14" s="2"/>
      <c r="AB14" s="2"/>
      <c r="AC14" s="17" t="s">
        <v>92</v>
      </c>
      <c r="AD14" s="17" t="s">
        <v>92</v>
      </c>
      <c r="AE14" s="17" t="s">
        <v>92</v>
      </c>
      <c r="AF14" s="17" t="s">
        <v>92</v>
      </c>
      <c r="AG14" s="17" t="s">
        <v>92</v>
      </c>
    </row>
    <row r="15" spans="1:33" ht="16.25" customHeight="1">
      <c r="A15" s="1">
        <v>13</v>
      </c>
      <c r="B15" s="1" t="s">
        <v>16</v>
      </c>
      <c r="C15" s="7" t="s">
        <v>30</v>
      </c>
      <c r="D15" s="16" t="s">
        <v>25</v>
      </c>
      <c r="E15" s="16" t="s">
        <v>25</v>
      </c>
      <c r="F15" s="2"/>
      <c r="G15" s="2"/>
      <c r="H15" s="2"/>
      <c r="I15" s="4" t="s">
        <v>50</v>
      </c>
      <c r="J15" s="1" t="s">
        <v>62</v>
      </c>
      <c r="K15" s="4" t="s">
        <v>50</v>
      </c>
      <c r="L15" s="2"/>
      <c r="M15" s="2"/>
      <c r="N15" s="2"/>
      <c r="O15" s="16" t="s">
        <v>25</v>
      </c>
      <c r="P15" s="16" t="s">
        <v>25</v>
      </c>
      <c r="Q15" s="1" t="s">
        <v>50</v>
      </c>
      <c r="R15" s="16" t="s">
        <v>25</v>
      </c>
      <c r="S15" s="17" t="s">
        <v>92</v>
      </c>
      <c r="T15" s="2"/>
      <c r="U15" s="2"/>
      <c r="V15" s="17" t="s">
        <v>92</v>
      </c>
      <c r="W15" s="17" t="s">
        <v>92</v>
      </c>
      <c r="X15" s="17" t="s">
        <v>92</v>
      </c>
      <c r="Y15" s="17" t="s">
        <v>92</v>
      </c>
      <c r="Z15" s="19" t="s">
        <v>92</v>
      </c>
      <c r="AA15" s="2"/>
      <c r="AB15" s="2"/>
      <c r="AC15" s="17" t="s">
        <v>92</v>
      </c>
      <c r="AD15" s="17" t="s">
        <v>92</v>
      </c>
      <c r="AE15" s="17" t="s">
        <v>92</v>
      </c>
      <c r="AF15" s="17" t="s">
        <v>92</v>
      </c>
      <c r="AG15" s="17" t="s">
        <v>92</v>
      </c>
    </row>
    <row r="16" spans="1:33" ht="18">
      <c r="A16" s="1">
        <v>14</v>
      </c>
      <c r="B16" s="1" t="s">
        <v>60</v>
      </c>
      <c r="C16" s="16" t="s">
        <v>25</v>
      </c>
      <c r="D16" s="16" t="s">
        <v>25</v>
      </c>
      <c r="E16" s="16" t="s">
        <v>25</v>
      </c>
      <c r="F16" s="23"/>
      <c r="G16" s="2"/>
      <c r="H16" s="2"/>
      <c r="I16" s="16" t="s">
        <v>25</v>
      </c>
      <c r="J16" s="16" t="s">
        <v>25</v>
      </c>
      <c r="K16" s="1" t="s">
        <v>62</v>
      </c>
      <c r="L16" s="2"/>
      <c r="M16" s="23"/>
      <c r="N16" s="2"/>
      <c r="O16" s="16" t="s">
        <v>25</v>
      </c>
      <c r="P16" s="16" t="s">
        <v>25</v>
      </c>
      <c r="Q16" s="16" t="s">
        <v>25</v>
      </c>
      <c r="R16" s="16" t="s">
        <v>25</v>
      </c>
      <c r="S16" s="16" t="s">
        <v>25</v>
      </c>
      <c r="T16" s="23"/>
      <c r="U16" s="2"/>
      <c r="V16" s="4" t="s">
        <v>50</v>
      </c>
      <c r="W16" s="16" t="s">
        <v>25</v>
      </c>
      <c r="X16" s="16" t="s">
        <v>25</v>
      </c>
      <c r="Y16" s="17" t="s">
        <v>92</v>
      </c>
      <c r="Z16" s="19" t="s">
        <v>92</v>
      </c>
      <c r="AA16" s="23"/>
      <c r="AB16" s="2"/>
      <c r="AC16" s="17" t="s">
        <v>92</v>
      </c>
      <c r="AD16" s="17" t="s">
        <v>92</v>
      </c>
      <c r="AE16" s="17" t="s">
        <v>92</v>
      </c>
      <c r="AF16" s="17" t="s">
        <v>92</v>
      </c>
      <c r="AG16" s="17" t="s">
        <v>92</v>
      </c>
    </row>
    <row r="17" spans="1:33" ht="18">
      <c r="A17" s="1">
        <v>15</v>
      </c>
      <c r="B17" s="1" t="s">
        <v>66</v>
      </c>
      <c r="C17" s="16" t="s">
        <v>25</v>
      </c>
      <c r="D17" s="16" t="s">
        <v>25</v>
      </c>
      <c r="E17" s="16" t="s">
        <v>25</v>
      </c>
      <c r="F17" s="2"/>
      <c r="G17" s="2"/>
      <c r="H17" s="2"/>
      <c r="I17" s="16" t="s">
        <v>25</v>
      </c>
      <c r="J17" s="16" t="s">
        <v>25</v>
      </c>
      <c r="K17" s="16" t="s">
        <v>25</v>
      </c>
      <c r="L17" s="2"/>
      <c r="M17" s="2"/>
      <c r="N17" s="2"/>
      <c r="O17" s="16" t="s">
        <v>25</v>
      </c>
      <c r="P17" s="16" t="s">
        <v>25</v>
      </c>
      <c r="Q17" s="16" t="s">
        <v>25</v>
      </c>
      <c r="R17" s="16" t="s">
        <v>25</v>
      </c>
      <c r="S17" s="16" t="s">
        <v>25</v>
      </c>
      <c r="T17" s="2"/>
      <c r="U17" s="2"/>
      <c r="V17" s="16" t="s">
        <v>25</v>
      </c>
      <c r="W17" s="16" t="s">
        <v>25</v>
      </c>
      <c r="X17" s="16" t="s">
        <v>25</v>
      </c>
      <c r="Y17" s="16" t="s">
        <v>25</v>
      </c>
      <c r="Z17" s="2"/>
      <c r="AA17" s="2"/>
      <c r="AB17" s="2"/>
      <c r="AC17" s="16" t="s">
        <v>25</v>
      </c>
      <c r="AD17" s="16" t="s">
        <v>25</v>
      </c>
      <c r="AE17" s="16" t="s">
        <v>25</v>
      </c>
      <c r="AF17" s="16" t="s">
        <v>25</v>
      </c>
      <c r="AG17" s="16" t="s">
        <v>25</v>
      </c>
    </row>
    <row r="18" spans="1:33" ht="18">
      <c r="A18" s="1">
        <v>16</v>
      </c>
      <c r="B18" s="1" t="s">
        <v>87</v>
      </c>
      <c r="C18" s="16" t="s">
        <v>25</v>
      </c>
      <c r="D18" s="16" t="s">
        <v>25</v>
      </c>
      <c r="E18" s="16" t="s">
        <v>25</v>
      </c>
      <c r="F18" s="2"/>
      <c r="G18" s="2"/>
      <c r="H18" s="2"/>
      <c r="I18" s="16" t="s">
        <v>25</v>
      </c>
      <c r="J18" s="16" t="s">
        <v>25</v>
      </c>
      <c r="K18" s="16" t="s">
        <v>25</v>
      </c>
      <c r="L18" s="2"/>
      <c r="M18" s="2"/>
      <c r="N18" s="2"/>
      <c r="O18" s="16" t="s">
        <v>25</v>
      </c>
      <c r="P18" s="16" t="s">
        <v>25</v>
      </c>
      <c r="Q18" s="16" t="s">
        <v>25</v>
      </c>
      <c r="R18" s="16" t="s">
        <v>25</v>
      </c>
      <c r="S18" s="16" t="s">
        <v>25</v>
      </c>
      <c r="T18" s="2"/>
      <c r="U18" s="2"/>
      <c r="V18" s="16" t="s">
        <v>25</v>
      </c>
      <c r="W18" s="16" t="s">
        <v>25</v>
      </c>
      <c r="X18" s="16" t="s">
        <v>25</v>
      </c>
      <c r="Y18" s="16" t="s">
        <v>25</v>
      </c>
      <c r="Z18" s="2"/>
      <c r="AA18" s="2"/>
      <c r="AB18" s="2"/>
      <c r="AC18" s="16" t="s">
        <v>25</v>
      </c>
      <c r="AD18" s="16" t="s">
        <v>25</v>
      </c>
      <c r="AE18" s="16" t="s">
        <v>25</v>
      </c>
      <c r="AF18" s="16" t="s">
        <v>25</v>
      </c>
      <c r="AG18" s="16" t="s">
        <v>25</v>
      </c>
    </row>
    <row r="19" spans="1:33" ht="18">
      <c r="A19" s="1">
        <v>17</v>
      </c>
      <c r="B19" s="1" t="s">
        <v>104</v>
      </c>
      <c r="C19" s="16" t="s">
        <v>25</v>
      </c>
      <c r="D19" s="16" t="s">
        <v>25</v>
      </c>
      <c r="E19" s="16" t="s">
        <v>25</v>
      </c>
      <c r="F19" s="2"/>
      <c r="G19" s="2"/>
      <c r="H19" s="2"/>
      <c r="I19" s="1" t="s">
        <v>62</v>
      </c>
      <c r="J19" s="1" t="s">
        <v>62</v>
      </c>
      <c r="K19" s="1" t="s">
        <v>62</v>
      </c>
      <c r="L19" s="2"/>
      <c r="M19" s="2"/>
      <c r="N19" s="2"/>
      <c r="O19" s="16" t="s">
        <v>25</v>
      </c>
      <c r="P19" s="16" t="s">
        <v>25</v>
      </c>
      <c r="Q19" s="16" t="s">
        <v>25</v>
      </c>
      <c r="R19" s="16" t="s">
        <v>25</v>
      </c>
      <c r="S19" s="16" t="s">
        <v>25</v>
      </c>
      <c r="T19" s="2"/>
      <c r="U19" s="2"/>
      <c r="V19" s="16" t="s">
        <v>25</v>
      </c>
      <c r="W19" s="16" t="s">
        <v>25</v>
      </c>
      <c r="X19" s="16" t="s">
        <v>25</v>
      </c>
      <c r="Y19" s="16" t="s">
        <v>25</v>
      </c>
      <c r="Z19" s="2"/>
      <c r="AA19" s="2"/>
      <c r="AB19" s="2"/>
      <c r="AC19" s="16" t="s">
        <v>25</v>
      </c>
      <c r="AD19" s="16" t="s">
        <v>25</v>
      </c>
      <c r="AE19" s="16" t="s">
        <v>25</v>
      </c>
      <c r="AF19" s="16" t="s">
        <v>25</v>
      </c>
      <c r="AG19" s="16" t="s">
        <v>25</v>
      </c>
    </row>
    <row r="20" spans="1:33" ht="18">
      <c r="A20" s="1">
        <v>18</v>
      </c>
      <c r="B20" s="1" t="s">
        <v>139</v>
      </c>
      <c r="C20" s="16" t="s">
        <v>25</v>
      </c>
      <c r="D20" s="16" t="s">
        <v>25</v>
      </c>
      <c r="E20" s="16" t="s">
        <v>25</v>
      </c>
      <c r="F20" s="2"/>
      <c r="G20" s="2"/>
      <c r="H20" s="2"/>
      <c r="I20" s="1" t="s">
        <v>50</v>
      </c>
      <c r="J20" s="16" t="s">
        <v>140</v>
      </c>
      <c r="K20" s="1" t="s">
        <v>140</v>
      </c>
      <c r="L20" s="2"/>
      <c r="M20" s="2"/>
      <c r="N20" s="2"/>
      <c r="O20" s="1" t="s">
        <v>140</v>
      </c>
      <c r="P20" s="1" t="s">
        <v>50</v>
      </c>
      <c r="Q20" s="1" t="s">
        <v>62</v>
      </c>
      <c r="R20" s="1" t="s">
        <v>62</v>
      </c>
      <c r="S20" s="1" t="s">
        <v>62</v>
      </c>
      <c r="T20" s="2"/>
      <c r="U20" s="2"/>
      <c r="V20" s="17" t="s">
        <v>62</v>
      </c>
      <c r="W20" s="17" t="s">
        <v>62</v>
      </c>
      <c r="X20" s="17" t="s">
        <v>62</v>
      </c>
      <c r="Y20" s="17" t="s">
        <v>62</v>
      </c>
      <c r="Z20" s="2"/>
      <c r="AA20" s="2"/>
      <c r="AB20" s="2"/>
      <c r="AC20" s="17" t="s">
        <v>140</v>
      </c>
      <c r="AD20" s="17" t="s">
        <v>140</v>
      </c>
      <c r="AE20" s="17" t="s">
        <v>140</v>
      </c>
      <c r="AF20" s="17" t="s">
        <v>140</v>
      </c>
      <c r="AG20" s="17" t="s">
        <v>140</v>
      </c>
    </row>
    <row r="21" spans="1:33">
      <c r="A21" s="5" t="s">
        <v>53</v>
      </c>
      <c r="B21" t="s">
        <v>23</v>
      </c>
    </row>
    <row r="22" spans="1:33">
      <c r="A22" s="4" t="s">
        <v>50</v>
      </c>
      <c r="B22" t="s">
        <v>24</v>
      </c>
    </row>
    <row r="23" spans="1:33">
      <c r="A23" s="7" t="s">
        <v>30</v>
      </c>
      <c r="B23" s="6" t="s">
        <v>29</v>
      </c>
    </row>
    <row r="25" spans="1:33">
      <c r="A25" s="11" t="s">
        <v>43</v>
      </c>
    </row>
    <row r="26" spans="1:33">
      <c r="A26" s="12" t="s">
        <v>44</v>
      </c>
    </row>
    <row r="27" spans="1:33">
      <c r="A27" s="12" t="s">
        <v>45</v>
      </c>
    </row>
    <row r="28" spans="1:33">
      <c r="A28" s="12" t="s">
        <v>41</v>
      </c>
    </row>
    <row r="29" spans="1:33">
      <c r="A29" s="12" t="s">
        <v>46</v>
      </c>
    </row>
    <row r="30" spans="1:33">
      <c r="A30" s="12" t="s">
        <v>47</v>
      </c>
    </row>
    <row r="31" spans="1:33">
      <c r="A31" s="12" t="s">
        <v>42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8">
    <cfRule type="duplicateValues" dxfId="14" priority="2"/>
  </conditionalFormatting>
  <conditionalFormatting sqref="B19:B20">
    <cfRule type="duplicateValues" dxfId="13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AH20"/>
  <sheetViews>
    <sheetView workbookViewId="0">
      <selection activeCell="A19" sqref="A19:XFD20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3" width="8.83203125" hidden="1" customWidth="1"/>
  </cols>
  <sheetData>
    <row r="1" spans="1:34" ht="27">
      <c r="A1" s="71" t="s">
        <v>17</v>
      </c>
      <c r="B1" s="71"/>
      <c r="C1" s="64" t="s">
        <v>65</v>
      </c>
      <c r="D1" s="68">
        <v>45566</v>
      </c>
      <c r="E1" s="68">
        <v>45567</v>
      </c>
      <c r="F1" s="68">
        <v>45568</v>
      </c>
      <c r="G1" s="68">
        <v>45569</v>
      </c>
      <c r="H1" s="68">
        <v>45570</v>
      </c>
      <c r="I1" s="68">
        <v>45571</v>
      </c>
      <c r="J1" s="68">
        <v>45572</v>
      </c>
      <c r="K1" s="68">
        <v>45573</v>
      </c>
      <c r="L1" s="68">
        <v>45574</v>
      </c>
      <c r="M1" s="68">
        <v>45575</v>
      </c>
      <c r="N1" s="68">
        <v>45576</v>
      </c>
      <c r="O1" s="68">
        <v>45577</v>
      </c>
      <c r="P1" s="68">
        <v>45578</v>
      </c>
      <c r="Q1" s="68">
        <v>45579</v>
      </c>
      <c r="R1" s="68">
        <v>45580</v>
      </c>
      <c r="S1" s="68">
        <v>45581</v>
      </c>
      <c r="T1" s="68">
        <v>45582</v>
      </c>
      <c r="U1" s="68">
        <v>45583</v>
      </c>
      <c r="V1" s="68">
        <v>45584</v>
      </c>
      <c r="W1" s="68">
        <v>45585</v>
      </c>
      <c r="X1" s="68">
        <v>45586</v>
      </c>
      <c r="Y1" s="68">
        <v>45587</v>
      </c>
      <c r="Z1" s="68">
        <v>45588</v>
      </c>
      <c r="AA1" s="68">
        <v>45589</v>
      </c>
      <c r="AB1" s="68">
        <v>45590</v>
      </c>
      <c r="AC1" s="68">
        <v>45591</v>
      </c>
      <c r="AD1" s="68">
        <v>45592</v>
      </c>
      <c r="AE1" s="68">
        <v>45593</v>
      </c>
      <c r="AF1" s="68">
        <v>45594</v>
      </c>
      <c r="AG1" s="68">
        <v>45595</v>
      </c>
      <c r="AH1" s="68">
        <v>45596</v>
      </c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23"/>
      <c r="H3" s="2"/>
      <c r="I3" s="2"/>
      <c r="J3" s="1">
        <v>0</v>
      </c>
      <c r="K3" s="1">
        <v>0</v>
      </c>
      <c r="L3" s="1">
        <v>0</v>
      </c>
      <c r="M3" s="2"/>
      <c r="N3" s="23"/>
      <c r="O3" s="2"/>
      <c r="P3" s="1">
        <v>0</v>
      </c>
      <c r="Q3" s="1">
        <v>0</v>
      </c>
      <c r="R3" s="1">
        <v>0</v>
      </c>
      <c r="S3" s="1">
        <v>0</v>
      </c>
      <c r="T3" s="1">
        <v>0</v>
      </c>
      <c r="U3" s="23"/>
      <c r="V3" s="2"/>
      <c r="W3" s="1">
        <v>0</v>
      </c>
      <c r="X3" s="1">
        <v>0</v>
      </c>
      <c r="Y3" s="1">
        <v>0</v>
      </c>
      <c r="Z3" s="1">
        <v>0</v>
      </c>
      <c r="AA3" s="2"/>
      <c r="AB3" s="23"/>
      <c r="AC3" s="2"/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7" si="0">SUM(D4:AH4)</f>
        <v>25</v>
      </c>
      <c r="D4" s="1">
        <v>0</v>
      </c>
      <c r="E4" s="1">
        <v>0</v>
      </c>
      <c r="F4" s="1">
        <v>0</v>
      </c>
      <c r="G4" s="2"/>
      <c r="H4" s="2"/>
      <c r="I4" s="2"/>
      <c r="J4" s="1">
        <v>0</v>
      </c>
      <c r="K4" s="1">
        <v>0</v>
      </c>
      <c r="L4" s="1">
        <v>0</v>
      </c>
      <c r="M4" s="2"/>
      <c r="N4" s="2"/>
      <c r="O4" s="2"/>
      <c r="P4" s="1">
        <v>16</v>
      </c>
      <c r="Q4" s="1">
        <v>0</v>
      </c>
      <c r="R4" s="1">
        <v>0</v>
      </c>
      <c r="S4" s="1">
        <v>0</v>
      </c>
      <c r="T4" s="1">
        <v>9</v>
      </c>
      <c r="U4" s="2"/>
      <c r="V4" s="2"/>
      <c r="W4" s="1">
        <v>0</v>
      </c>
      <c r="X4" s="1">
        <v>0</v>
      </c>
      <c r="Y4" s="1">
        <v>0</v>
      </c>
      <c r="Z4" s="1">
        <v>0</v>
      </c>
      <c r="AA4" s="2"/>
      <c r="AB4" s="2"/>
      <c r="AC4" s="2"/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8</v>
      </c>
      <c r="D5" s="1">
        <v>0</v>
      </c>
      <c r="E5" s="1">
        <v>0</v>
      </c>
      <c r="F5" s="1">
        <v>0</v>
      </c>
      <c r="G5" s="2"/>
      <c r="H5" s="2"/>
      <c r="I5" s="2"/>
      <c r="J5" s="1">
        <v>0</v>
      </c>
      <c r="K5" s="1">
        <v>0</v>
      </c>
      <c r="L5" s="1">
        <v>8</v>
      </c>
      <c r="M5" s="2"/>
      <c r="N5" s="2"/>
      <c r="O5" s="2"/>
      <c r="P5" s="1">
        <v>0</v>
      </c>
      <c r="Q5" s="1">
        <v>0</v>
      </c>
      <c r="R5" s="1">
        <v>0</v>
      </c>
      <c r="S5" s="1">
        <v>0</v>
      </c>
      <c r="T5" s="1">
        <v>0</v>
      </c>
      <c r="U5" s="2"/>
      <c r="V5" s="2"/>
      <c r="W5" s="1">
        <v>0</v>
      </c>
      <c r="X5" s="1">
        <v>0</v>
      </c>
      <c r="Y5" s="1">
        <v>0</v>
      </c>
      <c r="Z5" s="1">
        <v>0</v>
      </c>
      <c r="AA5" s="2"/>
      <c r="AB5" s="2"/>
      <c r="AC5" s="2"/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40</v>
      </c>
      <c r="D6" s="1">
        <v>0</v>
      </c>
      <c r="E6" s="1">
        <v>0</v>
      </c>
      <c r="F6" s="1">
        <v>16</v>
      </c>
      <c r="G6" s="2"/>
      <c r="H6" s="2"/>
      <c r="I6" s="2"/>
      <c r="J6" s="1">
        <v>0</v>
      </c>
      <c r="K6" s="1">
        <v>0</v>
      </c>
      <c r="L6" s="1">
        <v>0</v>
      </c>
      <c r="M6" s="2"/>
      <c r="N6" s="2"/>
      <c r="O6" s="2"/>
      <c r="P6" s="1">
        <v>0</v>
      </c>
      <c r="Q6" s="1">
        <v>0</v>
      </c>
      <c r="R6" s="1">
        <v>0</v>
      </c>
      <c r="S6" s="1">
        <v>0</v>
      </c>
      <c r="T6" s="1">
        <v>0</v>
      </c>
      <c r="U6" s="2"/>
      <c r="V6" s="2"/>
      <c r="W6" s="1">
        <v>16</v>
      </c>
      <c r="X6" s="1">
        <v>0</v>
      </c>
      <c r="Y6" s="1">
        <v>0</v>
      </c>
      <c r="Z6" s="1">
        <v>0</v>
      </c>
      <c r="AA6" s="2"/>
      <c r="AB6" s="2"/>
      <c r="AC6" s="2"/>
      <c r="AD6" s="1">
        <v>0</v>
      </c>
      <c r="AE6" s="1">
        <v>0</v>
      </c>
      <c r="AF6" s="1">
        <v>0</v>
      </c>
      <c r="AG6" s="1">
        <v>8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0</v>
      </c>
      <c r="D7" s="1">
        <v>0</v>
      </c>
      <c r="E7" s="1">
        <v>0</v>
      </c>
      <c r="F7" s="1">
        <v>0</v>
      </c>
      <c r="G7" s="2"/>
      <c r="H7" s="2"/>
      <c r="I7" s="2"/>
      <c r="J7" s="1">
        <v>0</v>
      </c>
      <c r="K7" s="1">
        <v>0</v>
      </c>
      <c r="L7" s="1">
        <v>0</v>
      </c>
      <c r="M7" s="2"/>
      <c r="N7" s="2"/>
      <c r="O7" s="2"/>
      <c r="P7" s="1">
        <v>0</v>
      </c>
      <c r="Q7" s="1">
        <v>0</v>
      </c>
      <c r="R7" s="1">
        <v>0</v>
      </c>
      <c r="S7" s="1">
        <v>0</v>
      </c>
      <c r="T7" s="1">
        <v>0</v>
      </c>
      <c r="U7" s="2"/>
      <c r="V7" s="2"/>
      <c r="W7" s="1">
        <v>0</v>
      </c>
      <c r="X7" s="1">
        <v>0</v>
      </c>
      <c r="Y7" s="1">
        <v>0</v>
      </c>
      <c r="Z7" s="1">
        <v>0</v>
      </c>
      <c r="AA7" s="2"/>
      <c r="AB7" s="2"/>
      <c r="AC7" s="2"/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8</v>
      </c>
      <c r="C8" s="1">
        <f t="shared" si="0"/>
        <v>48</v>
      </c>
      <c r="D8" s="1">
        <v>0</v>
      </c>
      <c r="E8" s="1">
        <v>0</v>
      </c>
      <c r="F8" s="1">
        <v>0</v>
      </c>
      <c r="G8" s="2"/>
      <c r="H8" s="2"/>
      <c r="I8" s="2"/>
      <c r="J8" s="1">
        <v>0</v>
      </c>
      <c r="K8" s="1">
        <v>16</v>
      </c>
      <c r="L8" s="1">
        <v>0</v>
      </c>
      <c r="M8" s="2"/>
      <c r="N8" s="2"/>
      <c r="O8" s="2"/>
      <c r="P8" s="1">
        <v>16</v>
      </c>
      <c r="Q8" s="1">
        <v>0</v>
      </c>
      <c r="R8" s="1">
        <v>0</v>
      </c>
      <c r="S8" s="1">
        <v>16</v>
      </c>
      <c r="T8" s="1">
        <v>0</v>
      </c>
      <c r="U8" s="2"/>
      <c r="V8" s="2"/>
      <c r="W8" s="1">
        <v>0</v>
      </c>
      <c r="X8" s="1">
        <v>0</v>
      </c>
      <c r="Y8" s="1">
        <v>0</v>
      </c>
      <c r="Z8" s="1">
        <v>0</v>
      </c>
      <c r="AA8" s="2"/>
      <c r="AB8" s="2"/>
      <c r="AC8" s="2"/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18</v>
      </c>
      <c r="D9" s="1">
        <v>0</v>
      </c>
      <c r="E9" s="1">
        <v>2</v>
      </c>
      <c r="F9" s="1">
        <v>16</v>
      </c>
      <c r="G9" s="23"/>
      <c r="H9" s="2"/>
      <c r="I9" s="2"/>
      <c r="J9" s="1">
        <v>0</v>
      </c>
      <c r="K9" s="1">
        <v>0</v>
      </c>
      <c r="L9" s="1">
        <v>0</v>
      </c>
      <c r="M9" s="2"/>
      <c r="N9" s="23"/>
      <c r="O9" s="2"/>
      <c r="P9" s="1">
        <v>0</v>
      </c>
      <c r="Q9" s="1">
        <v>0</v>
      </c>
      <c r="R9" s="1">
        <v>0</v>
      </c>
      <c r="S9" s="1">
        <v>0</v>
      </c>
      <c r="T9" s="1">
        <v>0</v>
      </c>
      <c r="U9" s="23"/>
      <c r="V9" s="2"/>
      <c r="W9" s="1">
        <v>0</v>
      </c>
      <c r="X9" s="1">
        <v>0</v>
      </c>
      <c r="Y9" s="1">
        <v>0</v>
      </c>
      <c r="Z9" s="1">
        <v>0</v>
      </c>
      <c r="AA9" s="2"/>
      <c r="AB9" s="23"/>
      <c r="AC9" s="2"/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0</v>
      </c>
      <c r="D10" s="1">
        <v>0</v>
      </c>
      <c r="E10" s="1">
        <v>0</v>
      </c>
      <c r="F10" s="1">
        <v>0</v>
      </c>
      <c r="G10" s="2"/>
      <c r="H10" s="2"/>
      <c r="I10" s="2"/>
      <c r="J10" s="1">
        <v>0</v>
      </c>
      <c r="K10" s="1">
        <v>0</v>
      </c>
      <c r="L10" s="1">
        <v>0</v>
      </c>
      <c r="M10" s="2"/>
      <c r="N10" s="2"/>
      <c r="O10" s="2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/>
      <c r="V10" s="2"/>
      <c r="W10" s="1">
        <v>0</v>
      </c>
      <c r="X10" s="1">
        <v>0</v>
      </c>
      <c r="Y10" s="1">
        <v>0</v>
      </c>
      <c r="Z10" s="1">
        <v>0</v>
      </c>
      <c r="AA10" s="2"/>
      <c r="AB10" s="2"/>
      <c r="AC10" s="2"/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>
      <c r="A11" s="1">
        <v>9</v>
      </c>
      <c r="B11" s="1" t="s">
        <v>11</v>
      </c>
      <c r="C11" s="1">
        <f t="shared" si="0"/>
        <v>0</v>
      </c>
      <c r="D11" s="1">
        <v>0</v>
      </c>
      <c r="E11" s="1">
        <v>0</v>
      </c>
      <c r="F11" s="1">
        <v>0</v>
      </c>
      <c r="G11" s="2"/>
      <c r="H11" s="2"/>
      <c r="I11" s="2"/>
      <c r="J11" s="1">
        <v>0</v>
      </c>
      <c r="K11" s="1">
        <v>0</v>
      </c>
      <c r="L11" s="1">
        <v>0</v>
      </c>
      <c r="M11" s="2"/>
      <c r="N11" s="2"/>
      <c r="O11" s="2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2"/>
      <c r="V11" s="2"/>
      <c r="W11" s="1">
        <v>0</v>
      </c>
      <c r="X11" s="1">
        <v>0</v>
      </c>
      <c r="Y11" s="1">
        <v>0</v>
      </c>
      <c r="Z11" s="1">
        <v>0</v>
      </c>
      <c r="AA11" s="2"/>
      <c r="AB11" s="2"/>
      <c r="AC11" s="2"/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2"/>
      <c r="H12" s="2"/>
      <c r="I12" s="2"/>
      <c r="J12" s="1">
        <v>0</v>
      </c>
      <c r="K12" s="1">
        <v>0</v>
      </c>
      <c r="L12" s="1">
        <v>0</v>
      </c>
      <c r="M12" s="2"/>
      <c r="N12" s="2"/>
      <c r="O12" s="2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2"/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0</v>
      </c>
      <c r="D13" s="1">
        <v>0</v>
      </c>
      <c r="E13" s="1">
        <v>0</v>
      </c>
      <c r="F13" s="1">
        <v>0</v>
      </c>
      <c r="G13" s="2"/>
      <c r="H13" s="2"/>
      <c r="I13" s="2"/>
      <c r="J13" s="1">
        <v>0</v>
      </c>
      <c r="K13" s="1">
        <v>0</v>
      </c>
      <c r="L13" s="1">
        <v>0</v>
      </c>
      <c r="M13" s="2"/>
      <c r="N13" s="2"/>
      <c r="O13" s="2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2"/>
      <c r="V13" s="2"/>
      <c r="W13" s="1">
        <v>0</v>
      </c>
      <c r="X13" s="1">
        <v>0</v>
      </c>
      <c r="Y13" s="1">
        <v>0</v>
      </c>
      <c r="Z13" s="1">
        <v>0</v>
      </c>
      <c r="AA13" s="2"/>
      <c r="AB13" s="2"/>
      <c r="AC13" s="2"/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>
      <c r="A14" s="1">
        <v>12</v>
      </c>
      <c r="B14" s="1" t="s">
        <v>14</v>
      </c>
      <c r="C14" s="1">
        <f t="shared" si="0"/>
        <v>0</v>
      </c>
      <c r="D14" s="1">
        <v>0</v>
      </c>
      <c r="E14" s="1">
        <v>0</v>
      </c>
      <c r="F14" s="1">
        <v>0</v>
      </c>
      <c r="G14" s="2"/>
      <c r="H14" s="2"/>
      <c r="I14" s="2"/>
      <c r="J14" s="1">
        <v>0</v>
      </c>
      <c r="K14" s="1">
        <v>0</v>
      </c>
      <c r="L14" s="1">
        <v>0</v>
      </c>
      <c r="M14" s="2"/>
      <c r="N14" s="2"/>
      <c r="O14" s="2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2"/>
      <c r="V14" s="2"/>
      <c r="W14" s="1">
        <v>0</v>
      </c>
      <c r="X14" s="1">
        <v>0</v>
      </c>
      <c r="Y14" s="1">
        <v>0</v>
      </c>
      <c r="Z14" s="1">
        <v>0</v>
      </c>
      <c r="AA14" s="2"/>
      <c r="AB14" s="2"/>
      <c r="AC14" s="2"/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ht="16.25" customHeight="1">
      <c r="A15" s="1">
        <v>13</v>
      </c>
      <c r="B15" s="1" t="s">
        <v>16</v>
      </c>
      <c r="C15" s="1">
        <f t="shared" si="0"/>
        <v>37</v>
      </c>
      <c r="D15" s="1">
        <v>1</v>
      </c>
      <c r="E15" s="1">
        <v>0</v>
      </c>
      <c r="F15" s="1">
        <v>0</v>
      </c>
      <c r="G15" s="2"/>
      <c r="H15" s="2"/>
      <c r="I15" s="2"/>
      <c r="J15" s="1">
        <v>16</v>
      </c>
      <c r="K15" s="1">
        <v>0</v>
      </c>
      <c r="L15" s="1">
        <v>16</v>
      </c>
      <c r="M15" s="2"/>
      <c r="N15" s="2"/>
      <c r="O15" s="2"/>
      <c r="P15" s="1">
        <v>0</v>
      </c>
      <c r="Q15" s="1">
        <v>0</v>
      </c>
      <c r="R15" s="1">
        <v>4</v>
      </c>
      <c r="S15" s="1">
        <v>0</v>
      </c>
      <c r="T15" s="1">
        <v>0</v>
      </c>
      <c r="U15" s="2"/>
      <c r="V15" s="2"/>
      <c r="W15" s="1">
        <v>0</v>
      </c>
      <c r="X15" s="1">
        <v>0</v>
      </c>
      <c r="Y15" s="1">
        <v>0</v>
      </c>
      <c r="Z15" s="1">
        <v>0</v>
      </c>
      <c r="AA15" s="2"/>
      <c r="AB15" s="2"/>
      <c r="AC15" s="2"/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>
      <c r="A16" s="1">
        <v>14</v>
      </c>
      <c r="B16" s="1" t="s">
        <v>60</v>
      </c>
      <c r="C16" s="1">
        <f t="shared" si="0"/>
        <v>16</v>
      </c>
      <c r="D16" s="1">
        <v>0</v>
      </c>
      <c r="E16" s="1">
        <v>0</v>
      </c>
      <c r="F16" s="1">
        <v>0</v>
      </c>
      <c r="G16" s="23"/>
      <c r="H16" s="2"/>
      <c r="I16" s="2"/>
      <c r="J16" s="1">
        <v>0</v>
      </c>
      <c r="K16" s="1">
        <v>0</v>
      </c>
      <c r="L16" s="1">
        <v>0</v>
      </c>
      <c r="M16" s="2"/>
      <c r="N16" s="23"/>
      <c r="O16" s="2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23"/>
      <c r="V16" s="2"/>
      <c r="W16" s="1">
        <v>16</v>
      </c>
      <c r="X16" s="1">
        <v>0</v>
      </c>
      <c r="Y16" s="1">
        <v>0</v>
      </c>
      <c r="Z16" s="1">
        <v>0</v>
      </c>
      <c r="AA16" s="2"/>
      <c r="AB16" s="23"/>
      <c r="AC16" s="2"/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>
      <c r="A17" s="1">
        <v>15</v>
      </c>
      <c r="B17" s="1" t="s">
        <v>66</v>
      </c>
      <c r="C17" s="1">
        <f t="shared" si="0"/>
        <v>0</v>
      </c>
      <c r="D17" s="1">
        <v>0</v>
      </c>
      <c r="E17" s="1">
        <v>0</v>
      </c>
      <c r="F17" s="1">
        <v>0</v>
      </c>
      <c r="G17" s="2"/>
      <c r="H17" s="2"/>
      <c r="I17" s="2"/>
      <c r="J17" s="1">
        <v>0</v>
      </c>
      <c r="K17" s="1">
        <v>0</v>
      </c>
      <c r="L17" s="1">
        <v>0</v>
      </c>
      <c r="M17" s="2"/>
      <c r="N17" s="2"/>
      <c r="O17" s="2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2"/>
      <c r="V17" s="2"/>
      <c r="W17" s="1">
        <v>0</v>
      </c>
      <c r="X17" s="1">
        <v>0</v>
      </c>
      <c r="Y17" s="1">
        <v>0</v>
      </c>
      <c r="Z17" s="1">
        <v>0</v>
      </c>
      <c r="AA17" s="2"/>
      <c r="AB17" s="2"/>
      <c r="AC17" s="2"/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>
      <c r="A18" s="1">
        <v>16</v>
      </c>
      <c r="B18" s="1" t="s">
        <v>87</v>
      </c>
      <c r="C18" s="1">
        <f>SUM(D18:AH18)</f>
        <v>0</v>
      </c>
      <c r="D18" s="1">
        <v>0</v>
      </c>
      <c r="E18" s="1">
        <v>0</v>
      </c>
      <c r="F18" s="1">
        <v>0</v>
      </c>
      <c r="G18" s="2"/>
      <c r="H18" s="2"/>
      <c r="I18" s="2"/>
      <c r="J18" s="1">
        <v>0</v>
      </c>
      <c r="K18" s="1">
        <v>0</v>
      </c>
      <c r="L18" s="1">
        <v>0</v>
      </c>
      <c r="M18" s="2"/>
      <c r="N18" s="2"/>
      <c r="O18" s="2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2"/>
      <c r="V18" s="2"/>
      <c r="W18" s="1">
        <v>0</v>
      </c>
      <c r="X18" s="1">
        <v>0</v>
      </c>
      <c r="Y18" s="1">
        <v>0</v>
      </c>
      <c r="Z18" s="1">
        <v>0</v>
      </c>
      <c r="AA18" s="2"/>
      <c r="AB18" s="2"/>
      <c r="AC18" s="2"/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>
      <c r="A19" s="1">
        <v>17</v>
      </c>
      <c r="B19" s="1" t="s">
        <v>104</v>
      </c>
      <c r="C19" s="1">
        <f>SUM(D19:AH19)</f>
        <v>0</v>
      </c>
      <c r="D19" s="1">
        <v>0</v>
      </c>
      <c r="E19" s="1">
        <v>0</v>
      </c>
      <c r="F19" s="1">
        <v>0</v>
      </c>
      <c r="G19" s="2"/>
      <c r="H19" s="2"/>
      <c r="I19" s="2"/>
      <c r="J19" s="1">
        <v>0</v>
      </c>
      <c r="K19" s="1">
        <v>0</v>
      </c>
      <c r="L19" s="1">
        <v>0</v>
      </c>
      <c r="M19" s="2"/>
      <c r="N19" s="2"/>
      <c r="O19" s="2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2"/>
      <c r="V19" s="2"/>
      <c r="W19" s="1">
        <v>0</v>
      </c>
      <c r="X19" s="1">
        <v>0</v>
      </c>
      <c r="Y19" s="1">
        <v>0</v>
      </c>
      <c r="Z19" s="1">
        <v>0</v>
      </c>
      <c r="AA19" s="2"/>
      <c r="AB19" s="2"/>
      <c r="AC19" s="2"/>
      <c r="AD19" s="1">
        <v>0</v>
      </c>
      <c r="AE19" s="1">
        <v>0</v>
      </c>
      <c r="AF19" s="1">
        <v>0</v>
      </c>
      <c r="AG19" s="1">
        <v>0</v>
      </c>
      <c r="AH19" s="1">
        <v>0</v>
      </c>
    </row>
    <row r="20" spans="1:34">
      <c r="A20" s="1">
        <v>18</v>
      </c>
      <c r="B20" s="1" t="s">
        <v>139</v>
      </c>
      <c r="C20" s="1">
        <f>SUM(D20:AH20)</f>
        <v>24</v>
      </c>
      <c r="D20" s="1">
        <v>0</v>
      </c>
      <c r="E20" s="1">
        <v>0</v>
      </c>
      <c r="F20" s="1">
        <v>0</v>
      </c>
      <c r="G20" s="2"/>
      <c r="H20" s="2"/>
      <c r="I20" s="2"/>
      <c r="J20" s="1">
        <v>8</v>
      </c>
      <c r="K20" s="1">
        <v>0</v>
      </c>
      <c r="L20" s="1">
        <v>0</v>
      </c>
      <c r="M20" s="2"/>
      <c r="N20" s="2"/>
      <c r="O20" s="2"/>
      <c r="P20" s="1">
        <v>0</v>
      </c>
      <c r="Q20" s="1">
        <v>16</v>
      </c>
      <c r="R20" s="1">
        <v>0</v>
      </c>
      <c r="S20" s="1">
        <v>0</v>
      </c>
      <c r="T20" s="1">
        <v>0</v>
      </c>
      <c r="U20" s="2"/>
      <c r="V20" s="2"/>
      <c r="W20" s="1">
        <v>0</v>
      </c>
      <c r="X20" s="1">
        <v>0</v>
      </c>
      <c r="Y20" s="1">
        <v>0</v>
      </c>
      <c r="Z20" s="1">
        <v>0</v>
      </c>
      <c r="AA20" s="2"/>
      <c r="AB20" s="2"/>
      <c r="AC20" s="2"/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8">
    <cfRule type="duplicateValues" dxfId="12" priority="2"/>
  </conditionalFormatting>
  <conditionalFormatting sqref="B19:B20">
    <cfRule type="duplicateValues" dxfId="11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AH31"/>
  <sheetViews>
    <sheetView zoomScale="117" zoomScaleNormal="70" workbookViewId="0">
      <selection activeCell="C26" sqref="C26"/>
    </sheetView>
  </sheetViews>
  <sheetFormatPr baseColWidth="10" defaultColWidth="8.83203125" defaultRowHeight="15"/>
  <cols>
    <col min="3" max="3" width="15.33203125" customWidth="1"/>
    <col min="4" max="34" width="8.83203125" customWidth="1"/>
    <col min="35" max="35" width="8.6640625" customWidth="1"/>
  </cols>
  <sheetData>
    <row r="1" spans="1:34" ht="28.25" customHeight="1">
      <c r="A1" s="73" t="s">
        <v>19</v>
      </c>
      <c r="B1" s="73"/>
      <c r="C1" s="48" t="s">
        <v>64</v>
      </c>
      <c r="D1" s="68">
        <v>45566</v>
      </c>
      <c r="E1" s="68">
        <v>45567</v>
      </c>
      <c r="F1" s="68">
        <v>45568</v>
      </c>
      <c r="G1" s="68">
        <v>45569</v>
      </c>
      <c r="H1" s="68">
        <v>45570</v>
      </c>
      <c r="I1" s="68">
        <v>45571</v>
      </c>
      <c r="J1" s="68">
        <v>45572</v>
      </c>
      <c r="K1" s="68">
        <v>45573</v>
      </c>
      <c r="L1" s="68">
        <v>45574</v>
      </c>
      <c r="M1" s="68">
        <v>45575</v>
      </c>
      <c r="N1" s="68">
        <v>45576</v>
      </c>
      <c r="O1" s="68">
        <v>45577</v>
      </c>
      <c r="P1" s="68">
        <v>45578</v>
      </c>
      <c r="Q1" s="68">
        <v>45579</v>
      </c>
      <c r="R1" s="68">
        <v>45580</v>
      </c>
      <c r="S1" s="68">
        <v>45581</v>
      </c>
      <c r="T1" s="68">
        <v>45582</v>
      </c>
      <c r="U1" s="68">
        <v>45583</v>
      </c>
      <c r="V1" s="68">
        <v>45584</v>
      </c>
      <c r="W1" s="68">
        <v>45585</v>
      </c>
      <c r="X1" s="68">
        <v>45586</v>
      </c>
      <c r="Y1" s="68">
        <v>45587</v>
      </c>
      <c r="Z1" s="68">
        <v>45588</v>
      </c>
      <c r="AA1" s="68">
        <v>45589</v>
      </c>
      <c r="AB1" s="68">
        <v>45590</v>
      </c>
      <c r="AC1" s="68">
        <v>45591</v>
      </c>
      <c r="AD1" s="68">
        <v>45592</v>
      </c>
      <c r="AE1" s="68">
        <v>45593</v>
      </c>
      <c r="AF1" s="68">
        <v>45594</v>
      </c>
      <c r="AG1" s="68">
        <v>45595</v>
      </c>
      <c r="AH1" s="68">
        <v>45596</v>
      </c>
    </row>
    <row r="2" spans="1:34">
      <c r="A2" s="1" t="s">
        <v>1</v>
      </c>
      <c r="B2" s="1" t="s">
        <v>2</v>
      </c>
      <c r="C2" s="4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1">
        <v>0</v>
      </c>
      <c r="E3" s="1">
        <v>0</v>
      </c>
      <c r="F3" s="1">
        <v>0</v>
      </c>
      <c r="G3" s="23"/>
      <c r="H3" s="2"/>
      <c r="I3" s="2"/>
      <c r="J3" s="1">
        <v>0</v>
      </c>
      <c r="K3" s="1">
        <v>0</v>
      </c>
      <c r="L3" s="1">
        <v>0</v>
      </c>
      <c r="M3" s="2"/>
      <c r="N3" s="23"/>
      <c r="O3" s="2"/>
      <c r="P3" s="1">
        <v>0</v>
      </c>
      <c r="Q3" s="1">
        <v>0</v>
      </c>
      <c r="R3" s="1">
        <v>0</v>
      </c>
      <c r="S3" s="1">
        <v>0</v>
      </c>
      <c r="T3" s="1">
        <v>0</v>
      </c>
      <c r="U3" s="23"/>
      <c r="V3" s="2"/>
      <c r="W3" s="1">
        <v>0</v>
      </c>
      <c r="X3" s="1">
        <v>0</v>
      </c>
      <c r="Y3" s="1">
        <v>0</v>
      </c>
      <c r="Z3" s="1">
        <v>0</v>
      </c>
      <c r="AA3" s="2"/>
      <c r="AB3" s="23"/>
      <c r="AC3" s="2"/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4</v>
      </c>
      <c r="C4" s="1">
        <f t="shared" ref="C4:C18" si="0">SUM(D4:AH4)</f>
        <v>0</v>
      </c>
      <c r="D4" s="1">
        <v>0</v>
      </c>
      <c r="E4" s="1">
        <v>0</v>
      </c>
      <c r="F4" s="1">
        <v>0</v>
      </c>
      <c r="G4" s="2"/>
      <c r="H4" s="2"/>
      <c r="I4" s="2"/>
      <c r="J4" s="1">
        <v>0</v>
      </c>
      <c r="K4" s="1">
        <v>0</v>
      </c>
      <c r="L4" s="1">
        <v>0</v>
      </c>
      <c r="M4" s="2"/>
      <c r="N4" s="2"/>
      <c r="O4" s="2"/>
      <c r="P4" s="1">
        <v>0</v>
      </c>
      <c r="Q4" s="1">
        <v>0</v>
      </c>
      <c r="R4" s="1">
        <v>0</v>
      </c>
      <c r="S4" s="1">
        <v>0</v>
      </c>
      <c r="T4" s="1">
        <v>0</v>
      </c>
      <c r="U4" s="2"/>
      <c r="V4" s="2"/>
      <c r="W4" s="1">
        <v>0</v>
      </c>
      <c r="X4" s="1">
        <v>0</v>
      </c>
      <c r="Y4" s="1">
        <v>0</v>
      </c>
      <c r="Z4" s="1">
        <v>0</v>
      </c>
      <c r="AA4" s="2"/>
      <c r="AB4" s="2"/>
      <c r="AC4" s="2"/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5</v>
      </c>
      <c r="C5" s="1">
        <f t="shared" si="0"/>
        <v>0</v>
      </c>
      <c r="D5" s="1">
        <v>0</v>
      </c>
      <c r="E5" s="1">
        <v>0</v>
      </c>
      <c r="F5" s="1">
        <v>0</v>
      </c>
      <c r="G5" s="2"/>
      <c r="H5" s="2"/>
      <c r="I5" s="2"/>
      <c r="J5" s="1">
        <v>0</v>
      </c>
      <c r="K5" s="1">
        <v>0</v>
      </c>
      <c r="L5" s="1">
        <v>0</v>
      </c>
      <c r="M5" s="2"/>
      <c r="N5" s="2"/>
      <c r="O5" s="2"/>
      <c r="P5" s="1">
        <v>0</v>
      </c>
      <c r="Q5" s="1">
        <v>0</v>
      </c>
      <c r="R5" s="1">
        <v>0</v>
      </c>
      <c r="S5" s="1">
        <v>0</v>
      </c>
      <c r="T5" s="1">
        <v>0</v>
      </c>
      <c r="U5" s="2"/>
      <c r="V5" s="2"/>
      <c r="W5" s="1">
        <v>0</v>
      </c>
      <c r="X5" s="1">
        <v>0</v>
      </c>
      <c r="Y5" s="1">
        <v>0</v>
      </c>
      <c r="Z5" s="1">
        <v>0</v>
      </c>
      <c r="AA5" s="2"/>
      <c r="AB5" s="2"/>
      <c r="AC5" s="2"/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6</v>
      </c>
      <c r="C6" s="1">
        <f t="shared" si="0"/>
        <v>8</v>
      </c>
      <c r="D6" s="1">
        <v>0</v>
      </c>
      <c r="E6" s="1">
        <v>0</v>
      </c>
      <c r="F6" s="1">
        <v>0</v>
      </c>
      <c r="G6" s="2"/>
      <c r="H6" s="2"/>
      <c r="I6" s="2"/>
      <c r="J6" s="1">
        <v>0</v>
      </c>
      <c r="K6" s="1">
        <v>1</v>
      </c>
      <c r="L6" s="1">
        <v>0</v>
      </c>
      <c r="M6" s="2"/>
      <c r="N6" s="2"/>
      <c r="O6" s="2"/>
      <c r="P6" s="1">
        <v>0</v>
      </c>
      <c r="Q6" s="1">
        <v>0</v>
      </c>
      <c r="R6" s="1">
        <v>0</v>
      </c>
      <c r="S6" s="1">
        <v>1</v>
      </c>
      <c r="T6" s="1">
        <v>1</v>
      </c>
      <c r="U6" s="2"/>
      <c r="V6" s="2"/>
      <c r="W6" s="1">
        <v>0</v>
      </c>
      <c r="X6" s="1">
        <v>0</v>
      </c>
      <c r="Y6" s="1">
        <v>2</v>
      </c>
      <c r="Z6" s="1">
        <v>0</v>
      </c>
      <c r="AA6" s="2"/>
      <c r="AB6" s="2"/>
      <c r="AC6" s="2"/>
      <c r="AD6" s="1">
        <v>0</v>
      </c>
      <c r="AE6" s="1">
        <v>0</v>
      </c>
      <c r="AF6" s="1">
        <v>3</v>
      </c>
      <c r="AG6" s="1">
        <v>0</v>
      </c>
      <c r="AH6" s="1">
        <v>0</v>
      </c>
    </row>
    <row r="7" spans="1:34">
      <c r="A7" s="1">
        <v>5</v>
      </c>
      <c r="B7" s="1" t="s">
        <v>7</v>
      </c>
      <c r="C7" s="1">
        <f t="shared" si="0"/>
        <v>73</v>
      </c>
      <c r="D7" s="1">
        <v>0</v>
      </c>
      <c r="E7" s="34">
        <v>4</v>
      </c>
      <c r="F7" s="34">
        <v>4</v>
      </c>
      <c r="G7" s="2"/>
      <c r="H7" s="2"/>
      <c r="I7" s="10">
        <v>2</v>
      </c>
      <c r="J7" s="34">
        <v>4</v>
      </c>
      <c r="K7" s="34">
        <v>4</v>
      </c>
      <c r="L7" s="34">
        <v>4</v>
      </c>
      <c r="M7" s="10"/>
      <c r="N7" s="10">
        <v>2</v>
      </c>
      <c r="O7" s="10">
        <v>2</v>
      </c>
      <c r="P7" s="34">
        <v>4</v>
      </c>
      <c r="Q7" s="34">
        <v>4</v>
      </c>
      <c r="R7" s="1">
        <v>0</v>
      </c>
      <c r="S7" s="34">
        <v>4</v>
      </c>
      <c r="T7" s="1">
        <v>0</v>
      </c>
      <c r="U7" s="2"/>
      <c r="V7" s="2"/>
      <c r="W7" s="34">
        <v>4</v>
      </c>
      <c r="X7" s="34">
        <v>4</v>
      </c>
      <c r="Y7" s="1">
        <v>0</v>
      </c>
      <c r="Z7" s="34">
        <v>6</v>
      </c>
      <c r="AA7" s="2"/>
      <c r="AB7" s="10">
        <v>2</v>
      </c>
      <c r="AC7" s="2"/>
      <c r="AD7" s="34">
        <v>4</v>
      </c>
      <c r="AE7" s="34">
        <v>4</v>
      </c>
      <c r="AF7" s="1">
        <v>0</v>
      </c>
      <c r="AG7" s="34">
        <v>7</v>
      </c>
      <c r="AH7" s="34">
        <v>4</v>
      </c>
    </row>
    <row r="8" spans="1:34">
      <c r="A8" s="1">
        <v>6</v>
      </c>
      <c r="B8" s="1" t="s">
        <v>8</v>
      </c>
      <c r="C8" s="1">
        <f t="shared" si="0"/>
        <v>14</v>
      </c>
      <c r="D8" s="1">
        <v>1</v>
      </c>
      <c r="E8" s="1">
        <v>2</v>
      </c>
      <c r="F8" s="1">
        <v>1</v>
      </c>
      <c r="G8" s="2"/>
      <c r="H8" s="2"/>
      <c r="I8" s="2"/>
      <c r="J8" s="1">
        <v>1</v>
      </c>
      <c r="K8" s="1">
        <v>0</v>
      </c>
      <c r="L8" s="1">
        <v>0</v>
      </c>
      <c r="M8" s="2"/>
      <c r="N8" s="2"/>
      <c r="O8" s="2"/>
      <c r="P8" s="1">
        <v>0</v>
      </c>
      <c r="Q8" s="1">
        <v>0</v>
      </c>
      <c r="R8" s="1">
        <v>0</v>
      </c>
      <c r="S8" s="1">
        <v>0</v>
      </c>
      <c r="T8" s="1">
        <v>0</v>
      </c>
      <c r="U8" s="2"/>
      <c r="V8" s="2"/>
      <c r="W8" s="1">
        <v>1</v>
      </c>
      <c r="X8" s="1">
        <v>2</v>
      </c>
      <c r="Y8" s="1">
        <v>0</v>
      </c>
      <c r="Z8" s="1">
        <v>0</v>
      </c>
      <c r="AA8" s="2"/>
      <c r="AB8" s="2"/>
      <c r="AC8" s="2"/>
      <c r="AD8" s="1">
        <v>0</v>
      </c>
      <c r="AE8" s="1">
        <v>0</v>
      </c>
      <c r="AF8" s="1">
        <v>3</v>
      </c>
      <c r="AG8" s="1">
        <v>3</v>
      </c>
      <c r="AH8" s="1">
        <v>0</v>
      </c>
    </row>
    <row r="9" spans="1:34">
      <c r="A9" s="1">
        <v>7</v>
      </c>
      <c r="B9" s="1" t="s">
        <v>9</v>
      </c>
      <c r="C9" s="1">
        <f t="shared" si="0"/>
        <v>8</v>
      </c>
      <c r="D9" s="1">
        <v>0</v>
      </c>
      <c r="E9" s="1">
        <v>0</v>
      </c>
      <c r="F9" s="1">
        <v>0</v>
      </c>
      <c r="G9" s="23"/>
      <c r="H9" s="2"/>
      <c r="I9" s="2"/>
      <c r="J9" s="1">
        <v>0</v>
      </c>
      <c r="K9" s="1">
        <v>0</v>
      </c>
      <c r="L9" s="1">
        <v>0</v>
      </c>
      <c r="M9" s="2"/>
      <c r="N9" s="23"/>
      <c r="O9" s="2"/>
      <c r="P9" s="1">
        <v>0</v>
      </c>
      <c r="Q9" s="1">
        <v>0</v>
      </c>
      <c r="R9" s="1">
        <v>0</v>
      </c>
      <c r="S9" s="1">
        <v>0</v>
      </c>
      <c r="T9" s="1">
        <v>0</v>
      </c>
      <c r="U9" s="23"/>
      <c r="V9" s="2"/>
      <c r="W9" s="1">
        <v>4</v>
      </c>
      <c r="X9" s="1">
        <v>4</v>
      </c>
      <c r="Y9" s="1">
        <v>0</v>
      </c>
      <c r="Z9" s="1">
        <v>0</v>
      </c>
      <c r="AA9" s="2"/>
      <c r="AB9" s="23"/>
      <c r="AC9" s="2"/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10</v>
      </c>
      <c r="C10" s="1">
        <f t="shared" si="0"/>
        <v>21</v>
      </c>
      <c r="D10" s="1">
        <v>0</v>
      </c>
      <c r="E10" s="1">
        <v>0</v>
      </c>
      <c r="F10" s="1">
        <v>0</v>
      </c>
      <c r="G10" s="2"/>
      <c r="H10" s="2"/>
      <c r="I10" s="2"/>
      <c r="J10" s="1">
        <v>0</v>
      </c>
      <c r="K10" s="1">
        <v>0</v>
      </c>
      <c r="L10" s="1">
        <v>0</v>
      </c>
      <c r="M10" s="2"/>
      <c r="N10" s="2"/>
      <c r="O10" s="2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2"/>
      <c r="V10" s="2"/>
      <c r="W10" s="1">
        <v>0</v>
      </c>
      <c r="X10" s="1">
        <v>0</v>
      </c>
      <c r="Y10" s="1">
        <v>0</v>
      </c>
      <c r="Z10" s="1">
        <v>3</v>
      </c>
      <c r="AA10" s="2">
        <v>2</v>
      </c>
      <c r="AB10" s="2"/>
      <c r="AC10" s="2"/>
      <c r="AD10" s="1">
        <v>5</v>
      </c>
      <c r="AE10" s="1">
        <v>3</v>
      </c>
      <c r="AF10" s="1">
        <v>3</v>
      </c>
      <c r="AG10" s="1">
        <v>3</v>
      </c>
      <c r="AH10" s="1">
        <v>2</v>
      </c>
    </row>
    <row r="11" spans="1:34">
      <c r="A11" s="1">
        <v>9</v>
      </c>
      <c r="B11" s="1" t="s">
        <v>11</v>
      </c>
      <c r="C11" s="1">
        <f t="shared" si="0"/>
        <v>61</v>
      </c>
      <c r="D11" s="1">
        <v>0</v>
      </c>
      <c r="E11" s="34">
        <v>4</v>
      </c>
      <c r="F11" s="34">
        <v>4</v>
      </c>
      <c r="G11" s="2"/>
      <c r="H11" s="2"/>
      <c r="I11" s="10">
        <v>2</v>
      </c>
      <c r="J11" s="34">
        <v>4</v>
      </c>
      <c r="K11" s="1">
        <v>0</v>
      </c>
      <c r="L11" s="34">
        <v>4</v>
      </c>
      <c r="M11" s="2"/>
      <c r="N11" s="10"/>
      <c r="O11" s="10">
        <v>2</v>
      </c>
      <c r="P11" s="34">
        <v>4</v>
      </c>
      <c r="Q11" s="34">
        <v>4</v>
      </c>
      <c r="R11" s="1">
        <v>0</v>
      </c>
      <c r="S11" s="34">
        <v>4</v>
      </c>
      <c r="T11" s="1">
        <v>0</v>
      </c>
      <c r="U11" s="2"/>
      <c r="V11" s="2"/>
      <c r="W11" s="1">
        <v>0</v>
      </c>
      <c r="X11" s="1">
        <v>2</v>
      </c>
      <c r="Y11" s="1">
        <v>0</v>
      </c>
      <c r="Z11" s="34">
        <v>6</v>
      </c>
      <c r="AA11" s="2"/>
      <c r="AB11" s="10">
        <v>2</v>
      </c>
      <c r="AC11" s="2"/>
      <c r="AD11" s="34">
        <v>4</v>
      </c>
      <c r="AE11" s="34">
        <v>4</v>
      </c>
      <c r="AF11" s="1">
        <v>0</v>
      </c>
      <c r="AG11" s="34">
        <v>7</v>
      </c>
      <c r="AH11" s="34">
        <v>4</v>
      </c>
    </row>
    <row r="12" spans="1:34">
      <c r="A12" s="1">
        <v>10</v>
      </c>
      <c r="B12" s="1" t="s">
        <v>12</v>
      </c>
      <c r="C12" s="1">
        <f t="shared" si="0"/>
        <v>0</v>
      </c>
      <c r="D12" s="1">
        <v>0</v>
      </c>
      <c r="E12" s="1">
        <v>0</v>
      </c>
      <c r="F12" s="1">
        <v>0</v>
      </c>
      <c r="G12" s="2"/>
      <c r="H12" s="2"/>
      <c r="I12" s="2"/>
      <c r="J12" s="1">
        <v>0</v>
      </c>
      <c r="K12" s="1">
        <v>0</v>
      </c>
      <c r="L12" s="1">
        <v>0</v>
      </c>
      <c r="M12" s="2"/>
      <c r="N12" s="2"/>
      <c r="O12" s="2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2"/>
      <c r="AB12" s="2"/>
      <c r="AC12" s="2"/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>
      <c r="A13" s="1">
        <v>11</v>
      </c>
      <c r="B13" s="1" t="s">
        <v>13</v>
      </c>
      <c r="C13" s="1">
        <f t="shared" si="0"/>
        <v>99</v>
      </c>
      <c r="D13" s="34">
        <v>4</v>
      </c>
      <c r="E13" s="34">
        <v>4</v>
      </c>
      <c r="F13" s="34">
        <v>4</v>
      </c>
      <c r="G13" s="2"/>
      <c r="H13" s="10">
        <v>2</v>
      </c>
      <c r="I13" s="34">
        <v>4</v>
      </c>
      <c r="J13" s="34">
        <v>4</v>
      </c>
      <c r="K13" s="34">
        <v>4</v>
      </c>
      <c r="L13" s="34">
        <v>4</v>
      </c>
      <c r="M13" s="34">
        <v>7</v>
      </c>
      <c r="N13" s="10">
        <v>2</v>
      </c>
      <c r="O13" s="10">
        <v>2</v>
      </c>
      <c r="P13" s="34">
        <v>4</v>
      </c>
      <c r="Q13" s="34">
        <v>4</v>
      </c>
      <c r="R13" s="34">
        <v>4</v>
      </c>
      <c r="S13" s="34">
        <v>4</v>
      </c>
      <c r="T13" s="34">
        <v>4</v>
      </c>
      <c r="U13" s="10"/>
      <c r="V13" s="2"/>
      <c r="W13" s="34">
        <v>4</v>
      </c>
      <c r="X13" s="34">
        <v>4</v>
      </c>
      <c r="Y13" s="34">
        <v>4</v>
      </c>
      <c r="Z13" s="34">
        <v>4</v>
      </c>
      <c r="AA13" s="2"/>
      <c r="AB13" s="10">
        <v>2</v>
      </c>
      <c r="AC13" s="2"/>
      <c r="AD13" s="34">
        <v>4</v>
      </c>
      <c r="AE13" s="34">
        <v>4</v>
      </c>
      <c r="AF13" s="34">
        <v>4</v>
      </c>
      <c r="AG13" s="34">
        <v>4</v>
      </c>
      <c r="AH13" s="34">
        <v>4</v>
      </c>
    </row>
    <row r="14" spans="1:34">
      <c r="A14" s="1">
        <v>12</v>
      </c>
      <c r="B14" s="1" t="s">
        <v>14</v>
      </c>
      <c r="C14" s="1">
        <f t="shared" si="0"/>
        <v>92</v>
      </c>
      <c r="D14" s="34">
        <v>4</v>
      </c>
      <c r="E14" s="34">
        <v>4</v>
      </c>
      <c r="F14" s="34">
        <v>4</v>
      </c>
      <c r="G14" s="10">
        <v>2</v>
      </c>
      <c r="H14" s="10">
        <v>2</v>
      </c>
      <c r="I14" s="34">
        <v>4</v>
      </c>
      <c r="J14" s="1">
        <v>0</v>
      </c>
      <c r="K14" s="1">
        <v>0</v>
      </c>
      <c r="L14" s="34">
        <v>4</v>
      </c>
      <c r="M14" s="34">
        <v>4</v>
      </c>
      <c r="N14" s="10">
        <v>2</v>
      </c>
      <c r="O14" s="2"/>
      <c r="P14" s="34">
        <v>4</v>
      </c>
      <c r="Q14" s="34">
        <v>4</v>
      </c>
      <c r="R14" s="34">
        <v>4</v>
      </c>
      <c r="S14" s="34">
        <v>4</v>
      </c>
      <c r="T14" s="34">
        <v>4</v>
      </c>
      <c r="U14" s="10">
        <v>2</v>
      </c>
      <c r="V14" s="2"/>
      <c r="W14" s="34">
        <v>4</v>
      </c>
      <c r="X14" s="1">
        <v>4</v>
      </c>
      <c r="Y14" s="34">
        <v>4</v>
      </c>
      <c r="Z14" s="34">
        <v>4</v>
      </c>
      <c r="AA14" s="34">
        <v>4</v>
      </c>
      <c r="AB14" s="2"/>
      <c r="AC14" s="2"/>
      <c r="AD14" s="34">
        <v>4</v>
      </c>
      <c r="AE14" s="34">
        <v>4</v>
      </c>
      <c r="AF14" s="34">
        <v>4</v>
      </c>
      <c r="AG14" s="34">
        <v>4</v>
      </c>
      <c r="AH14" s="34">
        <v>4</v>
      </c>
    </row>
    <row r="15" spans="1:34" ht="16.25" customHeight="1">
      <c r="A15" s="1">
        <v>13</v>
      </c>
      <c r="B15" s="1" t="s">
        <v>16</v>
      </c>
      <c r="C15" s="1">
        <f t="shared" si="0"/>
        <v>60</v>
      </c>
      <c r="D15" s="1">
        <v>4</v>
      </c>
      <c r="E15" s="1">
        <v>1</v>
      </c>
      <c r="F15" s="1">
        <v>0</v>
      </c>
      <c r="G15" s="2"/>
      <c r="H15" s="2"/>
      <c r="I15" s="2"/>
      <c r="J15" s="1">
        <v>0</v>
      </c>
      <c r="K15" s="1">
        <v>0</v>
      </c>
      <c r="L15" s="1">
        <v>0</v>
      </c>
      <c r="M15" s="2"/>
      <c r="N15" s="2"/>
      <c r="O15" s="2"/>
      <c r="P15" s="1">
        <v>1</v>
      </c>
      <c r="Q15" s="1">
        <v>0</v>
      </c>
      <c r="R15" s="1">
        <v>2</v>
      </c>
      <c r="S15" s="1">
        <v>1</v>
      </c>
      <c r="T15" s="1">
        <v>0</v>
      </c>
      <c r="U15" s="2"/>
      <c r="V15" s="2"/>
      <c r="W15" s="1">
        <v>6</v>
      </c>
      <c r="X15" s="1">
        <v>0</v>
      </c>
      <c r="Y15" s="1">
        <v>4</v>
      </c>
      <c r="Z15" s="1">
        <v>5</v>
      </c>
      <c r="AA15" s="2">
        <v>7</v>
      </c>
      <c r="AB15" s="2"/>
      <c r="AC15" s="2"/>
      <c r="AD15" s="1">
        <v>5</v>
      </c>
      <c r="AE15" s="1">
        <v>7</v>
      </c>
      <c r="AF15" s="1">
        <v>6</v>
      </c>
      <c r="AG15" s="1">
        <v>4</v>
      </c>
      <c r="AH15" s="1">
        <v>7</v>
      </c>
    </row>
    <row r="16" spans="1:34">
      <c r="A16" s="1">
        <v>14</v>
      </c>
      <c r="B16" s="1" t="s">
        <v>60</v>
      </c>
      <c r="C16" s="1">
        <f t="shared" si="0"/>
        <v>33</v>
      </c>
      <c r="D16" s="1">
        <v>0</v>
      </c>
      <c r="E16" s="1">
        <v>0</v>
      </c>
      <c r="F16" s="1">
        <v>0</v>
      </c>
      <c r="G16" s="23"/>
      <c r="H16" s="2"/>
      <c r="I16" s="2"/>
      <c r="J16" s="1">
        <v>0</v>
      </c>
      <c r="K16" s="1">
        <v>0</v>
      </c>
      <c r="L16" s="1">
        <v>0</v>
      </c>
      <c r="M16" s="2"/>
      <c r="N16" s="23"/>
      <c r="O16" s="2"/>
      <c r="P16" s="1">
        <v>1</v>
      </c>
      <c r="Q16" s="1">
        <v>2</v>
      </c>
      <c r="R16" s="1">
        <v>2</v>
      </c>
      <c r="S16" s="1">
        <v>0</v>
      </c>
      <c r="T16" s="1">
        <v>0</v>
      </c>
      <c r="U16" s="23"/>
      <c r="V16" s="2"/>
      <c r="W16" s="1">
        <v>0</v>
      </c>
      <c r="X16" s="1">
        <v>2</v>
      </c>
      <c r="Y16" s="1">
        <v>0</v>
      </c>
      <c r="Z16" s="1">
        <v>0</v>
      </c>
      <c r="AA16" s="2"/>
      <c r="AB16" s="10">
        <v>2</v>
      </c>
      <c r="AC16" s="2"/>
      <c r="AD16" s="34">
        <v>4</v>
      </c>
      <c r="AE16" s="34">
        <v>4</v>
      </c>
      <c r="AF16" s="34">
        <v>4</v>
      </c>
      <c r="AG16" s="34">
        <v>4</v>
      </c>
      <c r="AH16" s="34">
        <v>8</v>
      </c>
    </row>
    <row r="17" spans="1:34">
      <c r="A17" s="1">
        <v>15</v>
      </c>
      <c r="B17" s="1" t="s">
        <v>66</v>
      </c>
      <c r="C17" s="1">
        <f t="shared" si="0"/>
        <v>36</v>
      </c>
      <c r="D17" s="1">
        <v>0</v>
      </c>
      <c r="E17" s="1">
        <v>0</v>
      </c>
      <c r="F17" s="1">
        <v>0</v>
      </c>
      <c r="G17" s="2"/>
      <c r="H17" s="2"/>
      <c r="I17" s="2"/>
      <c r="J17" s="1">
        <v>0</v>
      </c>
      <c r="K17" s="1">
        <v>0</v>
      </c>
      <c r="L17" s="1">
        <v>0</v>
      </c>
      <c r="M17" s="2"/>
      <c r="N17" s="2"/>
      <c r="O17" s="2"/>
      <c r="P17" s="1">
        <v>0</v>
      </c>
      <c r="Q17" s="1">
        <v>1</v>
      </c>
      <c r="R17" s="1">
        <v>1</v>
      </c>
      <c r="S17" s="1">
        <v>2</v>
      </c>
      <c r="T17" s="1">
        <v>0</v>
      </c>
      <c r="U17" s="2"/>
      <c r="V17" s="2"/>
      <c r="W17" s="1">
        <v>0</v>
      </c>
      <c r="X17" s="1">
        <v>0</v>
      </c>
      <c r="Y17" s="1">
        <v>7</v>
      </c>
      <c r="Z17" s="1">
        <v>2</v>
      </c>
      <c r="AA17" s="2"/>
      <c r="AB17" s="2"/>
      <c r="AC17" s="2"/>
      <c r="AD17" s="1">
        <v>9</v>
      </c>
      <c r="AE17" s="1">
        <v>0</v>
      </c>
      <c r="AF17" s="1">
        <v>5</v>
      </c>
      <c r="AG17" s="1">
        <v>9</v>
      </c>
      <c r="AH17" s="1">
        <v>0</v>
      </c>
    </row>
    <row r="18" spans="1:34">
      <c r="A18" s="1">
        <v>16</v>
      </c>
      <c r="B18" s="1" t="s">
        <v>87</v>
      </c>
      <c r="C18" s="1">
        <f t="shared" si="0"/>
        <v>36</v>
      </c>
      <c r="D18" s="1">
        <v>0</v>
      </c>
      <c r="E18" s="1">
        <v>0</v>
      </c>
      <c r="F18" s="1">
        <v>0</v>
      </c>
      <c r="G18" s="2"/>
      <c r="H18" s="2"/>
      <c r="I18" s="2"/>
      <c r="J18" s="1">
        <v>0</v>
      </c>
      <c r="K18" s="1">
        <v>0</v>
      </c>
      <c r="L18" s="1">
        <v>0</v>
      </c>
      <c r="M18" s="2"/>
      <c r="N18" s="2"/>
      <c r="O18" s="2"/>
      <c r="P18" s="1">
        <v>0</v>
      </c>
      <c r="Q18" s="1">
        <v>1</v>
      </c>
      <c r="R18" s="1">
        <v>1</v>
      </c>
      <c r="S18" s="1">
        <v>2</v>
      </c>
      <c r="T18" s="1">
        <v>0</v>
      </c>
      <c r="U18" s="2"/>
      <c r="V18" s="2"/>
      <c r="W18" s="1">
        <v>0</v>
      </c>
      <c r="X18" s="1">
        <v>0</v>
      </c>
      <c r="Y18" s="1">
        <v>7</v>
      </c>
      <c r="Z18" s="1">
        <v>2</v>
      </c>
      <c r="AA18" s="2"/>
      <c r="AB18" s="2"/>
      <c r="AC18" s="2"/>
      <c r="AD18" s="1">
        <v>9</v>
      </c>
      <c r="AE18" s="1">
        <v>0</v>
      </c>
      <c r="AF18" s="1">
        <v>5</v>
      </c>
      <c r="AG18" s="1">
        <v>9</v>
      </c>
      <c r="AH18" s="1">
        <v>0</v>
      </c>
    </row>
    <row r="19" spans="1:34">
      <c r="A19" s="1">
        <v>17</v>
      </c>
      <c r="B19" s="1" t="s">
        <v>104</v>
      </c>
      <c r="C19" s="1">
        <f>SUM(D19:AH19)</f>
        <v>16</v>
      </c>
      <c r="D19" s="1">
        <v>0</v>
      </c>
      <c r="E19" s="1">
        <v>0</v>
      </c>
      <c r="F19" s="1">
        <v>0</v>
      </c>
      <c r="G19" s="2"/>
      <c r="H19" s="2"/>
      <c r="I19" s="2"/>
      <c r="J19" s="1">
        <v>0</v>
      </c>
      <c r="K19" s="1">
        <v>0</v>
      </c>
      <c r="L19" s="1">
        <v>0</v>
      </c>
      <c r="M19" s="2"/>
      <c r="N19" s="2"/>
      <c r="O19" s="2"/>
      <c r="P19" s="1">
        <v>0</v>
      </c>
      <c r="Q19" s="1">
        <v>2</v>
      </c>
      <c r="R19" s="1">
        <v>1</v>
      </c>
      <c r="S19" s="1">
        <v>0</v>
      </c>
      <c r="T19" s="1">
        <v>1</v>
      </c>
      <c r="U19" s="2"/>
      <c r="V19" s="2"/>
      <c r="W19" s="1">
        <v>0</v>
      </c>
      <c r="X19" s="1">
        <v>0</v>
      </c>
      <c r="Y19" s="1">
        <v>5</v>
      </c>
      <c r="Z19" s="1">
        <v>0</v>
      </c>
      <c r="AA19" s="2"/>
      <c r="AB19" s="2"/>
      <c r="AC19" s="2"/>
      <c r="AD19" s="1">
        <v>3</v>
      </c>
      <c r="AE19" s="1">
        <v>0</v>
      </c>
      <c r="AF19" s="1">
        <v>0</v>
      </c>
      <c r="AG19" s="1">
        <v>4</v>
      </c>
      <c r="AH19" s="1">
        <v>0</v>
      </c>
    </row>
    <row r="20" spans="1:34">
      <c r="A20" s="1">
        <v>18</v>
      </c>
      <c r="B20" s="1" t="s">
        <v>139</v>
      </c>
      <c r="C20" s="1">
        <f>SUM(D20:AH20)</f>
        <v>16</v>
      </c>
      <c r="D20" s="1">
        <v>0</v>
      </c>
      <c r="E20" s="1">
        <v>0</v>
      </c>
      <c r="F20" s="1">
        <v>0</v>
      </c>
      <c r="G20" s="2"/>
      <c r="H20" s="2"/>
      <c r="I20" s="2"/>
      <c r="J20" s="1">
        <v>0</v>
      </c>
      <c r="K20" s="1">
        <v>0</v>
      </c>
      <c r="L20" s="1">
        <v>0</v>
      </c>
      <c r="M20" s="2">
        <v>16</v>
      </c>
      <c r="N20" s="2"/>
      <c r="O20" s="2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2"/>
      <c r="V20" s="2"/>
      <c r="W20" s="1">
        <v>0</v>
      </c>
      <c r="X20" s="1">
        <v>0</v>
      </c>
      <c r="Y20" s="1">
        <v>0</v>
      </c>
      <c r="Z20" s="1">
        <v>0</v>
      </c>
      <c r="AA20" s="2"/>
      <c r="AB20" s="2"/>
      <c r="AC20" s="2"/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idden="1">
      <c r="AE21" s="1">
        <v>0</v>
      </c>
    </row>
    <row r="22" spans="1:34">
      <c r="A22" s="35"/>
      <c r="B22" s="4" t="s">
        <v>141</v>
      </c>
    </row>
    <row r="23" spans="1:34">
      <c r="A23" t="s">
        <v>146</v>
      </c>
    </row>
    <row r="24" spans="1:34">
      <c r="A24" t="s">
        <v>148</v>
      </c>
    </row>
    <row r="25" spans="1:34">
      <c r="A25" t="s">
        <v>152</v>
      </c>
    </row>
    <row r="26" spans="1:34">
      <c r="A26" t="s">
        <v>153</v>
      </c>
    </row>
    <row r="27" spans="1:34">
      <c r="A27" t="s">
        <v>154</v>
      </c>
    </row>
    <row r="28" spans="1:34">
      <c r="A28" t="s">
        <v>155</v>
      </c>
    </row>
    <row r="29" spans="1:34">
      <c r="A29" t="s">
        <v>156</v>
      </c>
    </row>
    <row r="30" spans="1:34">
      <c r="A30" t="s">
        <v>157</v>
      </c>
    </row>
    <row r="31" spans="1:34">
      <c r="A31" t="s">
        <v>158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8">
    <cfRule type="duplicateValues" dxfId="10" priority="3"/>
  </conditionalFormatting>
  <conditionalFormatting sqref="B19:B20">
    <cfRule type="duplicateValues" dxfId="9" priority="1"/>
  </conditionalFormatting>
  <conditionalFormatting sqref="B22">
    <cfRule type="duplicateValues" dxfId="8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32"/>
  <sheetViews>
    <sheetView zoomScaleNormal="100" workbookViewId="0">
      <selection activeCell="AK13" sqref="AK13"/>
    </sheetView>
  </sheetViews>
  <sheetFormatPr baseColWidth="10" defaultColWidth="8.83203125" defaultRowHeight="15"/>
  <cols>
    <col min="3" max="29" width="8.83203125" hidden="1" customWidth="1"/>
    <col min="30" max="32" width="8.83203125" customWidth="1"/>
    <col min="33" max="33" width="8.83203125" hidden="1" customWidth="1"/>
  </cols>
  <sheetData>
    <row r="1" spans="1:33" ht="27">
      <c r="A1" s="70" t="s">
        <v>0</v>
      </c>
      <c r="B1" s="70"/>
      <c r="C1" s="68">
        <v>45597</v>
      </c>
      <c r="D1" s="68">
        <v>45598</v>
      </c>
      <c r="E1" s="68">
        <v>45599</v>
      </c>
      <c r="F1" s="68">
        <v>45600</v>
      </c>
      <c r="G1" s="68">
        <v>45601</v>
      </c>
      <c r="H1" s="68">
        <v>45602</v>
      </c>
      <c r="I1" s="68">
        <v>45603</v>
      </c>
      <c r="J1" s="68">
        <v>45604</v>
      </c>
      <c r="K1" s="68">
        <v>45605</v>
      </c>
      <c r="L1" s="68">
        <v>45606</v>
      </c>
      <c r="M1" s="68">
        <v>45607</v>
      </c>
      <c r="N1" s="68">
        <v>45608</v>
      </c>
      <c r="O1" s="68">
        <v>45609</v>
      </c>
      <c r="P1" s="68">
        <v>45610</v>
      </c>
      <c r="Q1" s="68">
        <v>45611</v>
      </c>
      <c r="R1" s="68">
        <v>45612</v>
      </c>
      <c r="S1" s="68">
        <v>45613</v>
      </c>
      <c r="T1" s="68">
        <v>45614</v>
      </c>
      <c r="U1" s="68">
        <v>45615</v>
      </c>
      <c r="V1" s="68">
        <v>45616</v>
      </c>
      <c r="W1" s="68">
        <v>45617</v>
      </c>
      <c r="X1" s="68">
        <v>45618</v>
      </c>
      <c r="Y1" s="68">
        <v>45619</v>
      </c>
      <c r="Z1" s="68">
        <v>45620</v>
      </c>
      <c r="AA1" s="68">
        <v>45621</v>
      </c>
      <c r="AB1" s="68">
        <v>45622</v>
      </c>
      <c r="AC1" s="68">
        <v>45623</v>
      </c>
      <c r="AD1" s="68">
        <v>45624</v>
      </c>
      <c r="AE1" s="68">
        <v>45625</v>
      </c>
      <c r="AF1" s="68">
        <v>45626</v>
      </c>
      <c r="AG1" s="68"/>
    </row>
    <row r="2" spans="1:33">
      <c r="A2" s="1" t="s">
        <v>1</v>
      </c>
      <c r="B2" s="1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18">
      <c r="A3" s="1">
        <v>1</v>
      </c>
      <c r="B3" s="1" t="s">
        <v>3</v>
      </c>
      <c r="C3" s="2"/>
      <c r="D3" s="2"/>
      <c r="E3" s="17" t="s">
        <v>92</v>
      </c>
      <c r="F3" s="17" t="s">
        <v>92</v>
      </c>
      <c r="G3" s="17" t="s">
        <v>92</v>
      </c>
      <c r="H3" s="17" t="s">
        <v>92</v>
      </c>
      <c r="I3" s="17" t="s">
        <v>92</v>
      </c>
      <c r="J3" s="2"/>
      <c r="K3" s="2"/>
      <c r="L3" s="17" t="s">
        <v>92</v>
      </c>
      <c r="M3" s="17" t="s">
        <v>50</v>
      </c>
      <c r="N3" s="16" t="s">
        <v>25</v>
      </c>
      <c r="O3" s="16" t="s">
        <v>25</v>
      </c>
      <c r="P3" s="16" t="s">
        <v>25</v>
      </c>
      <c r="Q3" s="2"/>
      <c r="R3" s="2"/>
      <c r="S3" s="16" t="s">
        <v>25</v>
      </c>
      <c r="T3" s="16" t="s">
        <v>25</v>
      </c>
      <c r="U3" s="16" t="s">
        <v>25</v>
      </c>
      <c r="V3" s="16" t="s">
        <v>25</v>
      </c>
      <c r="W3" s="16" t="s">
        <v>25</v>
      </c>
      <c r="X3" s="2"/>
      <c r="Y3" s="2"/>
      <c r="Z3" s="16" t="s">
        <v>25</v>
      </c>
      <c r="AA3" s="16" t="s">
        <v>25</v>
      </c>
      <c r="AB3" s="16" t="s">
        <v>25</v>
      </c>
      <c r="AC3" s="16" t="s">
        <v>25</v>
      </c>
      <c r="AD3" s="17" t="s">
        <v>92</v>
      </c>
      <c r="AE3" s="2"/>
      <c r="AF3" s="2"/>
      <c r="AG3" s="1"/>
    </row>
    <row r="4" spans="1:33" ht="18">
      <c r="A4" s="1">
        <v>2</v>
      </c>
      <c r="B4" s="1" t="s">
        <v>4</v>
      </c>
      <c r="C4" s="2"/>
      <c r="D4" s="2"/>
      <c r="E4" s="16" t="s">
        <v>25</v>
      </c>
      <c r="F4" s="16" t="s">
        <v>25</v>
      </c>
      <c r="G4" s="16" t="s">
        <v>25</v>
      </c>
      <c r="H4" s="16" t="s">
        <v>25</v>
      </c>
      <c r="I4" s="16" t="s">
        <v>25</v>
      </c>
      <c r="J4" s="2"/>
      <c r="K4" s="2"/>
      <c r="L4" s="17" t="s">
        <v>50</v>
      </c>
      <c r="M4" s="16" t="s">
        <v>25</v>
      </c>
      <c r="N4" s="16" t="s">
        <v>25</v>
      </c>
      <c r="O4" s="7" t="s">
        <v>30</v>
      </c>
      <c r="P4" s="16" t="s">
        <v>25</v>
      </c>
      <c r="Q4" s="2"/>
      <c r="R4" s="2"/>
      <c r="S4" s="16" t="s">
        <v>25</v>
      </c>
      <c r="T4" s="16" t="s">
        <v>25</v>
      </c>
      <c r="U4" s="16" t="s">
        <v>25</v>
      </c>
      <c r="V4" s="16" t="s">
        <v>25</v>
      </c>
      <c r="W4" s="16" t="s">
        <v>25</v>
      </c>
      <c r="X4" s="2"/>
      <c r="Y4" s="2"/>
      <c r="Z4" s="16" t="s">
        <v>25</v>
      </c>
      <c r="AA4" s="16" t="s">
        <v>25</v>
      </c>
      <c r="AB4" s="16" t="s">
        <v>25</v>
      </c>
      <c r="AC4" s="16" t="s">
        <v>25</v>
      </c>
      <c r="AD4" s="16" t="s">
        <v>25</v>
      </c>
      <c r="AE4" s="2"/>
      <c r="AF4" s="2"/>
      <c r="AG4" s="1"/>
    </row>
    <row r="5" spans="1:33" ht="18">
      <c r="A5" s="1">
        <v>3</v>
      </c>
      <c r="B5" s="1" t="s">
        <v>5</v>
      </c>
      <c r="C5" s="2"/>
      <c r="D5" s="2"/>
      <c r="E5" s="16" t="s">
        <v>25</v>
      </c>
      <c r="F5" s="16" t="s">
        <v>25</v>
      </c>
      <c r="G5" s="16" t="s">
        <v>25</v>
      </c>
      <c r="H5" s="16" t="s">
        <v>25</v>
      </c>
      <c r="I5" s="16" t="s">
        <v>25</v>
      </c>
      <c r="J5" s="2"/>
      <c r="K5" s="2"/>
      <c r="L5" s="16" t="s">
        <v>25</v>
      </c>
      <c r="M5" s="16" t="s">
        <v>25</v>
      </c>
      <c r="N5" s="16" t="s">
        <v>25</v>
      </c>
      <c r="O5" s="16" t="s">
        <v>25</v>
      </c>
      <c r="P5" s="16" t="s">
        <v>25</v>
      </c>
      <c r="Q5" s="2"/>
      <c r="R5" s="2"/>
      <c r="S5" s="16" t="s">
        <v>25</v>
      </c>
      <c r="T5" s="16" t="s">
        <v>25</v>
      </c>
      <c r="U5" s="16" t="s">
        <v>25</v>
      </c>
      <c r="V5" s="16" t="s">
        <v>25</v>
      </c>
      <c r="W5" s="16" t="s">
        <v>25</v>
      </c>
      <c r="X5" s="2"/>
      <c r="Y5" s="2"/>
      <c r="Z5" s="16" t="s">
        <v>25</v>
      </c>
      <c r="AA5" s="16" t="s">
        <v>25</v>
      </c>
      <c r="AB5" s="16" t="s">
        <v>25</v>
      </c>
      <c r="AC5" s="16" t="s">
        <v>25</v>
      </c>
      <c r="AD5" s="16" t="s">
        <v>25</v>
      </c>
      <c r="AE5" s="2"/>
      <c r="AF5" s="2"/>
      <c r="AG5" s="1"/>
    </row>
    <row r="6" spans="1:33">
      <c r="A6" s="1">
        <v>4</v>
      </c>
      <c r="B6" s="1" t="s">
        <v>6</v>
      </c>
      <c r="C6" s="2"/>
      <c r="D6" s="2"/>
      <c r="E6" s="17" t="s">
        <v>92</v>
      </c>
      <c r="F6" s="17" t="s">
        <v>92</v>
      </c>
      <c r="G6" s="17" t="s">
        <v>92</v>
      </c>
      <c r="H6" s="17" t="s">
        <v>92</v>
      </c>
      <c r="I6" s="17" t="s">
        <v>92</v>
      </c>
      <c r="J6" s="2"/>
      <c r="K6" s="2"/>
      <c r="L6" s="17" t="s">
        <v>92</v>
      </c>
      <c r="M6" s="17" t="s">
        <v>92</v>
      </c>
      <c r="N6" s="17" t="s">
        <v>92</v>
      </c>
      <c r="O6" s="17" t="s">
        <v>92</v>
      </c>
      <c r="P6" s="17" t="s">
        <v>92</v>
      </c>
      <c r="Q6" s="2"/>
      <c r="R6" s="2"/>
      <c r="S6" s="17" t="s">
        <v>92</v>
      </c>
      <c r="T6" s="17" t="s">
        <v>92</v>
      </c>
      <c r="U6" s="17" t="s">
        <v>92</v>
      </c>
      <c r="V6" s="17" t="s">
        <v>92</v>
      </c>
      <c r="W6" s="17" t="s">
        <v>92</v>
      </c>
      <c r="X6" s="2"/>
      <c r="Y6" s="2"/>
      <c r="Z6" s="17" t="s">
        <v>92</v>
      </c>
      <c r="AA6" s="17" t="s">
        <v>92</v>
      </c>
      <c r="AB6" s="17" t="s">
        <v>92</v>
      </c>
      <c r="AC6" s="17" t="s">
        <v>92</v>
      </c>
      <c r="AD6" s="17" t="s">
        <v>92</v>
      </c>
      <c r="AE6" s="2"/>
      <c r="AF6" s="19"/>
      <c r="AG6" s="1"/>
    </row>
    <row r="7" spans="1:33" ht="18">
      <c r="A7" s="1">
        <v>5</v>
      </c>
      <c r="B7" s="1" t="s">
        <v>7</v>
      </c>
      <c r="C7" s="19"/>
      <c r="D7" s="2"/>
      <c r="E7" s="17" t="s">
        <v>92</v>
      </c>
      <c r="F7" s="17" t="s">
        <v>92</v>
      </c>
      <c r="G7" s="17" t="s">
        <v>92</v>
      </c>
      <c r="H7" s="17" t="s">
        <v>92</v>
      </c>
      <c r="I7" s="17" t="s">
        <v>92</v>
      </c>
      <c r="J7" s="19"/>
      <c r="K7" s="2"/>
      <c r="L7" s="17" t="s">
        <v>92</v>
      </c>
      <c r="M7" s="17" t="s">
        <v>160</v>
      </c>
      <c r="N7" s="16" t="s">
        <v>25</v>
      </c>
      <c r="O7" s="16" t="s">
        <v>25</v>
      </c>
      <c r="P7" s="4" t="s">
        <v>50</v>
      </c>
      <c r="Q7" s="19"/>
      <c r="R7" s="2"/>
      <c r="S7" s="1" t="s">
        <v>62</v>
      </c>
      <c r="T7" s="1" t="s">
        <v>62</v>
      </c>
      <c r="U7" s="17" t="s">
        <v>92</v>
      </c>
      <c r="V7" s="17" t="s">
        <v>92</v>
      </c>
      <c r="W7" s="17" t="s">
        <v>92</v>
      </c>
      <c r="X7" s="19"/>
      <c r="Y7" s="2"/>
      <c r="Z7" s="17" t="s">
        <v>92</v>
      </c>
      <c r="AA7" s="17" t="s">
        <v>92</v>
      </c>
      <c r="AB7" s="17" t="s">
        <v>92</v>
      </c>
      <c r="AC7" s="17" t="s">
        <v>92</v>
      </c>
      <c r="AD7" s="17" t="s">
        <v>92</v>
      </c>
      <c r="AE7" s="2"/>
      <c r="AF7" s="19"/>
      <c r="AG7" s="17"/>
    </row>
    <row r="8" spans="1:33" ht="18">
      <c r="A8" s="1">
        <v>6</v>
      </c>
      <c r="B8" s="1" t="s">
        <v>8</v>
      </c>
      <c r="C8" s="2"/>
      <c r="D8" s="2"/>
      <c r="E8" s="16" t="s">
        <v>25</v>
      </c>
      <c r="F8" s="16" t="s">
        <v>25</v>
      </c>
      <c r="G8" s="16" t="s">
        <v>25</v>
      </c>
      <c r="H8" s="16" t="s">
        <v>25</v>
      </c>
      <c r="I8" s="16" t="s">
        <v>25</v>
      </c>
      <c r="J8" s="2"/>
      <c r="K8" s="2"/>
      <c r="L8" s="16" t="s">
        <v>25</v>
      </c>
      <c r="M8" s="16" t="s">
        <v>25</v>
      </c>
      <c r="N8" s="16" t="s">
        <v>25</v>
      </c>
      <c r="O8" s="16" t="s">
        <v>25</v>
      </c>
      <c r="P8" s="16" t="s">
        <v>25</v>
      </c>
      <c r="Q8" s="2"/>
      <c r="R8" s="2"/>
      <c r="S8" s="16" t="s">
        <v>25</v>
      </c>
      <c r="T8" s="4" t="s">
        <v>50</v>
      </c>
      <c r="U8" s="16" t="s">
        <v>25</v>
      </c>
      <c r="V8" s="16" t="s">
        <v>25</v>
      </c>
      <c r="W8" s="16" t="s">
        <v>25</v>
      </c>
      <c r="X8" s="2"/>
      <c r="Y8" s="2"/>
      <c r="Z8" s="16" t="s">
        <v>25</v>
      </c>
      <c r="AA8" s="16" t="s">
        <v>25</v>
      </c>
      <c r="AB8" s="16" t="s">
        <v>25</v>
      </c>
      <c r="AC8" s="16" t="s">
        <v>25</v>
      </c>
      <c r="AD8" s="16" t="s">
        <v>25</v>
      </c>
      <c r="AE8" s="2"/>
      <c r="AF8" s="2"/>
      <c r="AG8" s="1"/>
    </row>
    <row r="9" spans="1:33" ht="18">
      <c r="A9" s="1">
        <v>7</v>
      </c>
      <c r="B9" s="1" t="s">
        <v>9</v>
      </c>
      <c r="C9" s="2"/>
      <c r="D9" s="2"/>
      <c r="E9" s="17" t="s">
        <v>92</v>
      </c>
      <c r="F9" s="17" t="s">
        <v>92</v>
      </c>
      <c r="G9" s="17" t="s">
        <v>92</v>
      </c>
      <c r="H9" s="17" t="s">
        <v>92</v>
      </c>
      <c r="I9" s="17" t="s">
        <v>92</v>
      </c>
      <c r="J9" s="2"/>
      <c r="K9" s="2"/>
      <c r="L9" s="16" t="s">
        <v>25</v>
      </c>
      <c r="M9" s="17" t="s">
        <v>160</v>
      </c>
      <c r="N9" s="16" t="s">
        <v>25</v>
      </c>
      <c r="O9" s="4" t="s">
        <v>50</v>
      </c>
      <c r="P9" s="16" t="s">
        <v>25</v>
      </c>
      <c r="Q9" s="2"/>
      <c r="R9" s="2"/>
      <c r="S9" s="16" t="s">
        <v>25</v>
      </c>
      <c r="T9" s="16" t="s">
        <v>25</v>
      </c>
      <c r="U9" s="16" t="s">
        <v>25</v>
      </c>
      <c r="V9" s="16" t="s">
        <v>25</v>
      </c>
      <c r="W9" s="17" t="s">
        <v>162</v>
      </c>
      <c r="X9" s="2"/>
      <c r="Y9" s="2"/>
      <c r="Z9" s="16" t="s">
        <v>25</v>
      </c>
      <c r="AA9" s="4" t="s">
        <v>50</v>
      </c>
      <c r="AB9" s="16" t="s">
        <v>25</v>
      </c>
      <c r="AC9" s="1" t="s">
        <v>62</v>
      </c>
      <c r="AD9" s="16" t="s">
        <v>25</v>
      </c>
      <c r="AE9" s="2"/>
      <c r="AF9" s="19"/>
      <c r="AG9" s="17"/>
    </row>
    <row r="10" spans="1:33" ht="18">
      <c r="A10" s="1">
        <v>8</v>
      </c>
      <c r="B10" s="1" t="s">
        <v>10</v>
      </c>
      <c r="C10" s="2"/>
      <c r="D10" s="2"/>
      <c r="E10" s="17" t="s">
        <v>92</v>
      </c>
      <c r="F10" s="17" t="s">
        <v>92</v>
      </c>
      <c r="G10" s="17" t="s">
        <v>92</v>
      </c>
      <c r="H10" s="17" t="s">
        <v>92</v>
      </c>
      <c r="I10" s="17" t="s">
        <v>92</v>
      </c>
      <c r="J10" s="2"/>
      <c r="K10" s="2"/>
      <c r="L10" s="17" t="s">
        <v>92</v>
      </c>
      <c r="M10" s="16" t="s">
        <v>25</v>
      </c>
      <c r="N10" s="16" t="s">
        <v>25</v>
      </c>
      <c r="O10" s="16" t="s">
        <v>25</v>
      </c>
      <c r="P10" s="16" t="s">
        <v>25</v>
      </c>
      <c r="Q10" s="2"/>
      <c r="R10" s="2"/>
      <c r="S10" s="16" t="s">
        <v>25</v>
      </c>
      <c r="T10" s="16" t="s">
        <v>25</v>
      </c>
      <c r="U10" s="16" t="s">
        <v>25</v>
      </c>
      <c r="V10" s="16" t="s">
        <v>25</v>
      </c>
      <c r="W10" s="4" t="s">
        <v>50</v>
      </c>
      <c r="X10" s="2"/>
      <c r="Y10" s="2"/>
      <c r="Z10" s="16" t="s">
        <v>25</v>
      </c>
      <c r="AA10" s="16" t="s">
        <v>25</v>
      </c>
      <c r="AB10" s="16" t="s">
        <v>25</v>
      </c>
      <c r="AC10" s="16" t="s">
        <v>25</v>
      </c>
      <c r="AD10" s="16" t="s">
        <v>25</v>
      </c>
      <c r="AE10" s="2"/>
      <c r="AF10" s="2"/>
      <c r="AG10" s="1"/>
    </row>
    <row r="11" spans="1:33" ht="18">
      <c r="A11" s="1">
        <v>9</v>
      </c>
      <c r="B11" s="1" t="s">
        <v>11</v>
      </c>
      <c r="C11" s="2"/>
      <c r="D11" s="2"/>
      <c r="E11" s="17" t="s">
        <v>92</v>
      </c>
      <c r="F11" s="17" t="s">
        <v>92</v>
      </c>
      <c r="G11" s="17" t="s">
        <v>92</v>
      </c>
      <c r="H11" s="17" t="s">
        <v>92</v>
      </c>
      <c r="I11" s="17" t="s">
        <v>92</v>
      </c>
      <c r="J11" s="2"/>
      <c r="K11" s="2"/>
      <c r="L11" s="17" t="s">
        <v>92</v>
      </c>
      <c r="M11" s="16" t="s">
        <v>25</v>
      </c>
      <c r="N11" s="16" t="s">
        <v>25</v>
      </c>
      <c r="O11" s="1" t="s">
        <v>62</v>
      </c>
      <c r="P11" s="1" t="s">
        <v>62</v>
      </c>
      <c r="Q11" s="2"/>
      <c r="R11" s="2"/>
      <c r="S11" s="16" t="s">
        <v>25</v>
      </c>
      <c r="T11" s="4" t="s">
        <v>50</v>
      </c>
      <c r="U11" s="17" t="s">
        <v>92</v>
      </c>
      <c r="V11" s="17" t="s">
        <v>92</v>
      </c>
      <c r="W11" s="17" t="s">
        <v>92</v>
      </c>
      <c r="X11" s="19"/>
      <c r="Y11" s="2"/>
      <c r="Z11" s="17" t="s">
        <v>92</v>
      </c>
      <c r="AA11" s="17" t="s">
        <v>92</v>
      </c>
      <c r="AB11" s="17" t="s">
        <v>92</v>
      </c>
      <c r="AC11" s="17" t="s">
        <v>92</v>
      </c>
      <c r="AD11" s="17" t="s">
        <v>92</v>
      </c>
      <c r="AE11" s="2"/>
      <c r="AF11" s="19"/>
      <c r="AG11" s="1"/>
    </row>
    <row r="12" spans="1:33" ht="18">
      <c r="A12" s="1">
        <v>10</v>
      </c>
      <c r="B12" s="1" t="s">
        <v>12</v>
      </c>
      <c r="C12" s="21"/>
      <c r="D12" s="2"/>
      <c r="E12" s="16" t="s">
        <v>25</v>
      </c>
      <c r="F12" s="16" t="s">
        <v>25</v>
      </c>
      <c r="G12" s="16" t="s">
        <v>25</v>
      </c>
      <c r="H12" s="16" t="s">
        <v>25</v>
      </c>
      <c r="I12" s="17" t="s">
        <v>92</v>
      </c>
      <c r="J12" s="21"/>
      <c r="K12" s="2"/>
      <c r="L12" s="17" t="s">
        <v>92</v>
      </c>
      <c r="M12" s="17" t="s">
        <v>92</v>
      </c>
      <c r="N12" s="17" t="s">
        <v>92</v>
      </c>
      <c r="O12" s="17" t="s">
        <v>92</v>
      </c>
      <c r="P12" s="17" t="s">
        <v>92</v>
      </c>
      <c r="Q12" s="2"/>
      <c r="R12" s="2"/>
      <c r="S12" s="17" t="s">
        <v>92</v>
      </c>
      <c r="T12" s="17" t="s">
        <v>92</v>
      </c>
      <c r="U12" s="17" t="s">
        <v>92</v>
      </c>
      <c r="V12" s="17" t="s">
        <v>92</v>
      </c>
      <c r="W12" s="17" t="s">
        <v>92</v>
      </c>
      <c r="X12" s="2"/>
      <c r="Y12" s="2"/>
      <c r="Z12" s="17" t="s">
        <v>92</v>
      </c>
      <c r="AA12" s="17" t="s">
        <v>92</v>
      </c>
      <c r="AB12" s="17" t="s">
        <v>92</v>
      </c>
      <c r="AC12" s="17" t="s">
        <v>92</v>
      </c>
      <c r="AD12" s="17" t="s">
        <v>92</v>
      </c>
      <c r="AE12" s="2"/>
      <c r="AF12" s="19"/>
      <c r="AG12" s="17"/>
    </row>
    <row r="13" spans="1:33" ht="18">
      <c r="A13" s="1">
        <v>11</v>
      </c>
      <c r="B13" s="1" t="s">
        <v>13</v>
      </c>
      <c r="C13" s="2"/>
      <c r="D13" s="2"/>
      <c r="E13" s="17" t="s">
        <v>92</v>
      </c>
      <c r="F13" s="17" t="s">
        <v>92</v>
      </c>
      <c r="G13" s="17" t="s">
        <v>92</v>
      </c>
      <c r="H13" s="17" t="s">
        <v>92</v>
      </c>
      <c r="I13" s="17" t="s">
        <v>92</v>
      </c>
      <c r="J13" s="2"/>
      <c r="K13" s="2"/>
      <c r="L13" s="17" t="s">
        <v>92</v>
      </c>
      <c r="M13" s="17" t="s">
        <v>92</v>
      </c>
      <c r="N13" s="17" t="s">
        <v>92</v>
      </c>
      <c r="O13" s="17" t="s">
        <v>92</v>
      </c>
      <c r="P13" s="17" t="s">
        <v>92</v>
      </c>
      <c r="Q13" s="2"/>
      <c r="R13" s="2"/>
      <c r="S13" s="17" t="s">
        <v>92</v>
      </c>
      <c r="T13" s="17" t="s">
        <v>92</v>
      </c>
      <c r="U13" s="17" t="s">
        <v>92</v>
      </c>
      <c r="V13" s="17" t="s">
        <v>92</v>
      </c>
      <c r="W13" s="17" t="s">
        <v>92</v>
      </c>
      <c r="X13" s="2"/>
      <c r="Y13" s="2"/>
      <c r="Z13" s="16" t="s">
        <v>25</v>
      </c>
      <c r="AA13" s="16" t="s">
        <v>25</v>
      </c>
      <c r="AB13" s="4" t="s">
        <v>50</v>
      </c>
      <c r="AC13" s="16" t="s">
        <v>25</v>
      </c>
      <c r="AD13" s="16" t="s">
        <v>25</v>
      </c>
      <c r="AE13" s="2"/>
      <c r="AF13" s="2"/>
      <c r="AG13" s="1"/>
    </row>
    <row r="14" spans="1:33" ht="18">
      <c r="A14" s="1">
        <v>12</v>
      </c>
      <c r="B14" s="1" t="s">
        <v>14</v>
      </c>
      <c r="C14" s="2"/>
      <c r="D14" s="2"/>
      <c r="E14" s="17" t="s">
        <v>92</v>
      </c>
      <c r="F14" s="16" t="s">
        <v>25</v>
      </c>
      <c r="G14" s="17" t="s">
        <v>92</v>
      </c>
      <c r="H14" s="17" t="s">
        <v>92</v>
      </c>
      <c r="I14" s="17" t="s">
        <v>92</v>
      </c>
      <c r="J14" s="2"/>
      <c r="K14" s="2"/>
      <c r="L14" s="17" t="s">
        <v>92</v>
      </c>
      <c r="M14" s="17" t="s">
        <v>92</v>
      </c>
      <c r="N14" s="17" t="s">
        <v>92</v>
      </c>
      <c r="O14" s="17" t="s">
        <v>92</v>
      </c>
      <c r="P14" s="17" t="s">
        <v>92</v>
      </c>
      <c r="Q14" s="2"/>
      <c r="R14" s="2"/>
      <c r="S14" s="17" t="s">
        <v>92</v>
      </c>
      <c r="T14" s="17" t="s">
        <v>92</v>
      </c>
      <c r="U14" s="17" t="s">
        <v>92</v>
      </c>
      <c r="V14" s="17" t="s">
        <v>92</v>
      </c>
      <c r="W14" s="17" t="s">
        <v>92</v>
      </c>
      <c r="X14" s="2"/>
      <c r="Y14" s="2"/>
      <c r="Z14" s="17" t="s">
        <v>92</v>
      </c>
      <c r="AA14" s="16" t="s">
        <v>25</v>
      </c>
      <c r="AB14" s="16" t="s">
        <v>25</v>
      </c>
      <c r="AC14" s="4" t="s">
        <v>50</v>
      </c>
      <c r="AD14" s="17" t="s">
        <v>166</v>
      </c>
      <c r="AE14" s="2"/>
      <c r="AF14" s="19"/>
      <c r="AG14" s="17"/>
    </row>
    <row r="15" spans="1:33" ht="16.25" customHeight="1">
      <c r="A15" s="1">
        <v>13</v>
      </c>
      <c r="B15" s="1" t="s">
        <v>16</v>
      </c>
      <c r="C15" s="2"/>
      <c r="D15" s="2"/>
      <c r="E15" s="17" t="s">
        <v>92</v>
      </c>
      <c r="F15" s="17" t="s">
        <v>92</v>
      </c>
      <c r="G15" s="17" t="s">
        <v>92</v>
      </c>
      <c r="H15" s="17" t="s">
        <v>92</v>
      </c>
      <c r="I15" s="17" t="s">
        <v>92</v>
      </c>
      <c r="J15" s="2"/>
      <c r="K15" s="2"/>
      <c r="L15" s="17" t="s">
        <v>92</v>
      </c>
      <c r="M15" s="17" t="s">
        <v>92</v>
      </c>
      <c r="N15" s="17" t="s">
        <v>92</v>
      </c>
      <c r="O15" s="17" t="s">
        <v>92</v>
      </c>
      <c r="P15" s="17" t="s">
        <v>92</v>
      </c>
      <c r="Q15" s="2"/>
      <c r="R15" s="2"/>
      <c r="S15" s="17" t="s">
        <v>92</v>
      </c>
      <c r="T15" s="16" t="s">
        <v>25</v>
      </c>
      <c r="U15" s="4" t="s">
        <v>50</v>
      </c>
      <c r="V15" s="16" t="s">
        <v>25</v>
      </c>
      <c r="W15" s="17" t="s">
        <v>92</v>
      </c>
      <c r="X15" s="2"/>
      <c r="Y15" s="2"/>
      <c r="Z15" s="17" t="s">
        <v>92</v>
      </c>
      <c r="AA15" s="17" t="s">
        <v>92</v>
      </c>
      <c r="AB15" s="17" t="s">
        <v>92</v>
      </c>
      <c r="AC15" s="17" t="s">
        <v>92</v>
      </c>
      <c r="AD15" s="17" t="s">
        <v>92</v>
      </c>
      <c r="AE15" s="2"/>
      <c r="AF15" s="19"/>
      <c r="AG15" s="1"/>
    </row>
    <row r="16" spans="1:33">
      <c r="A16" s="1">
        <v>14</v>
      </c>
      <c r="B16" s="1" t="s">
        <v>60</v>
      </c>
      <c r="C16" s="2"/>
      <c r="D16" s="2"/>
      <c r="E16" s="17" t="s">
        <v>92</v>
      </c>
      <c r="F16" s="17" t="s">
        <v>92</v>
      </c>
      <c r="G16" s="17" t="s">
        <v>92</v>
      </c>
      <c r="H16" s="17" t="s">
        <v>92</v>
      </c>
      <c r="I16" s="17" t="s">
        <v>92</v>
      </c>
      <c r="J16" s="2"/>
      <c r="K16" s="2"/>
      <c r="L16" s="17" t="s">
        <v>92</v>
      </c>
      <c r="M16" s="17" t="s">
        <v>92</v>
      </c>
      <c r="N16" s="17" t="s">
        <v>92</v>
      </c>
      <c r="O16" s="17" t="s">
        <v>92</v>
      </c>
      <c r="P16" s="17" t="s">
        <v>92</v>
      </c>
      <c r="Q16" s="2"/>
      <c r="R16" s="2"/>
      <c r="S16" s="17" t="s">
        <v>92</v>
      </c>
      <c r="T16" s="17" t="s">
        <v>92</v>
      </c>
      <c r="U16" s="17" t="s">
        <v>92</v>
      </c>
      <c r="V16" s="17" t="s">
        <v>92</v>
      </c>
      <c r="W16" s="17" t="s">
        <v>92</v>
      </c>
      <c r="X16" s="2"/>
      <c r="Y16" s="2"/>
      <c r="Z16" s="17" t="s">
        <v>92</v>
      </c>
      <c r="AA16" s="4" t="s">
        <v>50</v>
      </c>
      <c r="AB16" s="1" t="s">
        <v>62</v>
      </c>
      <c r="AC16" s="4" t="s">
        <v>50</v>
      </c>
      <c r="AD16" s="1" t="s">
        <v>62</v>
      </c>
      <c r="AE16" s="2"/>
      <c r="AF16" s="2"/>
      <c r="AG16" s="1"/>
    </row>
    <row r="17" spans="1:33" ht="18">
      <c r="A17" s="1">
        <v>15</v>
      </c>
      <c r="B17" s="1" t="s">
        <v>66</v>
      </c>
      <c r="C17" s="19"/>
      <c r="D17" s="2"/>
      <c r="E17" s="16" t="s">
        <v>25</v>
      </c>
      <c r="F17" s="16" t="s">
        <v>25</v>
      </c>
      <c r="G17" s="16" t="s">
        <v>25</v>
      </c>
      <c r="H17" s="16" t="s">
        <v>25</v>
      </c>
      <c r="I17" s="16" t="s">
        <v>25</v>
      </c>
      <c r="J17" s="19"/>
      <c r="K17" s="2"/>
      <c r="L17" s="16" t="s">
        <v>25</v>
      </c>
      <c r="M17" s="17" t="s">
        <v>160</v>
      </c>
      <c r="N17" s="16" t="s">
        <v>25</v>
      </c>
      <c r="O17" s="16" t="s">
        <v>25</v>
      </c>
      <c r="P17" s="16" t="s">
        <v>25</v>
      </c>
      <c r="Q17" s="19"/>
      <c r="R17" s="2"/>
      <c r="S17" s="16" t="s">
        <v>25</v>
      </c>
      <c r="T17" s="16" t="s">
        <v>25</v>
      </c>
      <c r="U17" s="16" t="s">
        <v>25</v>
      </c>
      <c r="V17" s="16" t="s">
        <v>25</v>
      </c>
      <c r="W17" s="17" t="s">
        <v>50</v>
      </c>
      <c r="X17" s="19"/>
      <c r="Y17" s="2"/>
      <c r="Z17" s="16" t="s">
        <v>25</v>
      </c>
      <c r="AA17" s="16" t="s">
        <v>25</v>
      </c>
      <c r="AB17" s="16" t="s">
        <v>25</v>
      </c>
      <c r="AC17" s="16" t="s">
        <v>25</v>
      </c>
      <c r="AD17" s="16" t="s">
        <v>25</v>
      </c>
      <c r="AE17" s="2"/>
      <c r="AF17" s="19"/>
      <c r="AG17" s="17"/>
    </row>
    <row r="18" spans="1:33" ht="18">
      <c r="A18" s="1">
        <v>16</v>
      </c>
      <c r="B18" s="1" t="s">
        <v>87</v>
      </c>
      <c r="C18" s="19"/>
      <c r="D18" s="2"/>
      <c r="E18" s="16" t="s">
        <v>25</v>
      </c>
      <c r="F18" s="16" t="s">
        <v>25</v>
      </c>
      <c r="G18" s="16" t="s">
        <v>25</v>
      </c>
      <c r="H18" s="16" t="s">
        <v>25</v>
      </c>
      <c r="I18" s="16" t="s">
        <v>25</v>
      </c>
      <c r="J18" s="19"/>
      <c r="K18" s="2"/>
      <c r="L18" s="16" t="s">
        <v>25</v>
      </c>
      <c r="M18" s="16" t="s">
        <v>25</v>
      </c>
      <c r="N18" s="16" t="s">
        <v>25</v>
      </c>
      <c r="O18" s="16" t="s">
        <v>25</v>
      </c>
      <c r="P18" s="16" t="s">
        <v>25</v>
      </c>
      <c r="Q18" s="19"/>
      <c r="R18" s="2"/>
      <c r="S18" s="16" t="s">
        <v>25</v>
      </c>
      <c r="T18" s="16" t="s">
        <v>25</v>
      </c>
      <c r="U18" s="16" t="s">
        <v>25</v>
      </c>
      <c r="V18" s="16" t="s">
        <v>25</v>
      </c>
      <c r="W18" s="17" t="s">
        <v>50</v>
      </c>
      <c r="X18" s="19"/>
      <c r="Y18" s="2"/>
      <c r="Z18" s="16" t="s">
        <v>25</v>
      </c>
      <c r="AA18" s="16" t="s">
        <v>25</v>
      </c>
      <c r="AB18" s="16" t="s">
        <v>25</v>
      </c>
      <c r="AC18" s="16" t="s">
        <v>25</v>
      </c>
      <c r="AD18" s="16" t="s">
        <v>25</v>
      </c>
      <c r="AE18" s="2"/>
      <c r="AF18" s="19"/>
      <c r="AG18" s="17"/>
    </row>
    <row r="19" spans="1:33" ht="18">
      <c r="A19" s="1">
        <v>17</v>
      </c>
      <c r="B19" s="1" t="s">
        <v>104</v>
      </c>
      <c r="C19" s="19"/>
      <c r="D19" s="2"/>
      <c r="E19" s="16" t="s">
        <v>25</v>
      </c>
      <c r="F19" s="16" t="s">
        <v>25</v>
      </c>
      <c r="G19" s="16" t="s">
        <v>25</v>
      </c>
      <c r="H19" s="16" t="s">
        <v>25</v>
      </c>
      <c r="I19" s="16" t="s">
        <v>25</v>
      </c>
      <c r="J19" s="19"/>
      <c r="K19" s="2"/>
      <c r="L19" s="17" t="s">
        <v>62</v>
      </c>
      <c r="M19" s="16" t="s">
        <v>25</v>
      </c>
      <c r="N19" s="16" t="s">
        <v>25</v>
      </c>
      <c r="O19" s="16" t="s">
        <v>25</v>
      </c>
      <c r="P19" s="16" t="s">
        <v>25</v>
      </c>
      <c r="Q19" s="19"/>
      <c r="R19" s="2"/>
      <c r="S19" s="16" t="s">
        <v>25</v>
      </c>
      <c r="T19" s="16" t="s">
        <v>25</v>
      </c>
      <c r="U19" s="16" t="s">
        <v>25</v>
      </c>
      <c r="V19" s="16" t="s">
        <v>25</v>
      </c>
      <c r="W19" s="16" t="s">
        <v>25</v>
      </c>
      <c r="X19" s="19"/>
      <c r="Y19" s="2"/>
      <c r="Z19" s="16" t="s">
        <v>25</v>
      </c>
      <c r="AA19" s="16" t="s">
        <v>25</v>
      </c>
      <c r="AB19" s="16" t="s">
        <v>25</v>
      </c>
      <c r="AC19" s="4" t="s">
        <v>50</v>
      </c>
      <c r="AD19" s="16" t="s">
        <v>25</v>
      </c>
      <c r="AE19" s="2"/>
      <c r="AF19" s="19"/>
      <c r="AG19" s="16" t="s">
        <v>25</v>
      </c>
    </row>
    <row r="20" spans="1:33">
      <c r="A20" s="1">
        <v>18</v>
      </c>
      <c r="B20" s="1" t="s">
        <v>139</v>
      </c>
      <c r="C20" s="19"/>
      <c r="D20" s="2"/>
      <c r="E20" s="17" t="s">
        <v>140</v>
      </c>
      <c r="F20" s="17" t="s">
        <v>140</v>
      </c>
      <c r="G20" s="17" t="s">
        <v>140</v>
      </c>
      <c r="H20" s="17" t="s">
        <v>140</v>
      </c>
      <c r="I20" s="17" t="s">
        <v>140</v>
      </c>
      <c r="J20" s="19"/>
      <c r="K20" s="2"/>
      <c r="L20" s="17" t="s">
        <v>50</v>
      </c>
      <c r="M20" s="17" t="s">
        <v>140</v>
      </c>
      <c r="N20" s="17" t="s">
        <v>140</v>
      </c>
      <c r="O20" s="17" t="s">
        <v>140</v>
      </c>
      <c r="P20" s="17" t="s">
        <v>140</v>
      </c>
      <c r="Q20" s="19"/>
      <c r="R20" s="2"/>
      <c r="S20" s="17" t="s">
        <v>140</v>
      </c>
      <c r="T20" s="17" t="s">
        <v>140</v>
      </c>
      <c r="U20" s="17" t="s">
        <v>140</v>
      </c>
      <c r="V20" s="17" t="s">
        <v>140</v>
      </c>
      <c r="W20" s="17" t="s">
        <v>140</v>
      </c>
      <c r="X20" s="19"/>
      <c r="Y20" s="2"/>
      <c r="Z20" s="17" t="s">
        <v>140</v>
      </c>
      <c r="AA20" s="17" t="s">
        <v>140</v>
      </c>
      <c r="AB20" s="17" t="s">
        <v>140</v>
      </c>
      <c r="AC20" s="17" t="s">
        <v>140</v>
      </c>
      <c r="AD20" s="17" t="s">
        <v>140</v>
      </c>
      <c r="AE20" s="2"/>
      <c r="AF20" s="19"/>
      <c r="AG20" s="17" t="s">
        <v>140</v>
      </c>
    </row>
    <row r="21" spans="1:33" ht="18">
      <c r="A21" s="1">
        <v>19</v>
      </c>
      <c r="B21" s="1" t="s">
        <v>167</v>
      </c>
      <c r="C21" s="43"/>
      <c r="D21" s="23"/>
      <c r="E21" s="44"/>
      <c r="F21" s="44"/>
      <c r="G21" s="44"/>
      <c r="H21" s="44"/>
      <c r="I21" s="44"/>
      <c r="J21" s="43"/>
      <c r="K21" s="23"/>
      <c r="L21" s="44"/>
      <c r="M21" s="44"/>
      <c r="N21" s="44"/>
      <c r="O21" s="44"/>
      <c r="P21" s="44"/>
      <c r="Q21" s="43"/>
      <c r="R21" s="23"/>
      <c r="S21" s="44"/>
      <c r="T21" s="44"/>
      <c r="U21" s="44"/>
      <c r="V21" s="44"/>
      <c r="W21" s="44"/>
      <c r="X21" s="43"/>
      <c r="Y21" s="23"/>
      <c r="Z21" s="44"/>
      <c r="AA21" s="44"/>
      <c r="AB21" s="44"/>
      <c r="AC21" s="16" t="s">
        <v>25</v>
      </c>
      <c r="AD21" s="16" t="s">
        <v>25</v>
      </c>
      <c r="AE21" s="2"/>
      <c r="AF21" s="19"/>
      <c r="AG21" s="44"/>
    </row>
    <row r="22" spans="1:33" ht="18">
      <c r="A22" s="20" t="s">
        <v>25</v>
      </c>
      <c r="B22" t="s">
        <v>23</v>
      </c>
    </row>
    <row r="23" spans="1:33">
      <c r="A23" s="4" t="s">
        <v>50</v>
      </c>
      <c r="B23" t="s">
        <v>24</v>
      </c>
    </row>
    <row r="24" spans="1:33">
      <c r="A24" s="7" t="s">
        <v>30</v>
      </c>
      <c r="B24" s="6" t="s">
        <v>29</v>
      </c>
    </row>
    <row r="26" spans="1:33">
      <c r="A26" s="11" t="s">
        <v>43</v>
      </c>
    </row>
    <row r="27" spans="1:33">
      <c r="A27" s="12" t="s">
        <v>44</v>
      </c>
    </row>
    <row r="28" spans="1:33">
      <c r="A28" s="12" t="s">
        <v>45</v>
      </c>
    </row>
    <row r="29" spans="1:33">
      <c r="A29" s="12" t="s">
        <v>41</v>
      </c>
    </row>
    <row r="30" spans="1:33">
      <c r="A30" s="12" t="s">
        <v>46</v>
      </c>
    </row>
    <row r="31" spans="1:33">
      <c r="A31" s="12" t="s">
        <v>47</v>
      </c>
    </row>
    <row r="32" spans="1:33">
      <c r="A32" s="12" t="s">
        <v>42</v>
      </c>
    </row>
  </sheetData>
  <mergeCells count="32">
    <mergeCell ref="AF1:AF2"/>
    <mergeCell ref="AG1:AG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8">
    <cfRule type="duplicateValues" dxfId="7" priority="2"/>
  </conditionalFormatting>
  <conditionalFormatting sqref="B19:B21">
    <cfRule type="duplicateValues" dxfId="6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AH20"/>
  <sheetViews>
    <sheetView workbookViewId="0">
      <selection activeCell="AG12" sqref="AG12"/>
    </sheetView>
  </sheetViews>
  <sheetFormatPr baseColWidth="10" defaultColWidth="8.83203125" defaultRowHeight="15"/>
  <cols>
    <col min="3" max="3" width="15.33203125" customWidth="1"/>
    <col min="4" max="8" width="8.83203125" hidden="1" customWidth="1"/>
    <col min="9" max="9" width="9.1640625" hidden="1" customWidth="1"/>
    <col min="10" max="30" width="8.83203125" hidden="1" customWidth="1"/>
    <col min="31" max="33" width="8.83203125" customWidth="1"/>
  </cols>
  <sheetData>
    <row r="1" spans="1:34" ht="27">
      <c r="A1" s="71" t="s">
        <v>17</v>
      </c>
      <c r="B1" s="71"/>
      <c r="C1" s="64" t="s">
        <v>79</v>
      </c>
      <c r="D1" s="68">
        <v>45597</v>
      </c>
      <c r="E1" s="68">
        <v>45598</v>
      </c>
      <c r="F1" s="68">
        <v>45599</v>
      </c>
      <c r="G1" s="68">
        <v>45600</v>
      </c>
      <c r="H1" s="68">
        <v>45601</v>
      </c>
      <c r="I1" s="68">
        <v>45602</v>
      </c>
      <c r="J1" s="68">
        <v>45603</v>
      </c>
      <c r="K1" s="68">
        <v>45604</v>
      </c>
      <c r="L1" s="68">
        <v>45605</v>
      </c>
      <c r="M1" s="68">
        <v>45606</v>
      </c>
      <c r="N1" s="68">
        <v>45607</v>
      </c>
      <c r="O1" s="68">
        <v>45608</v>
      </c>
      <c r="P1" s="68">
        <v>45609</v>
      </c>
      <c r="Q1" s="68">
        <v>45610</v>
      </c>
      <c r="R1" s="68">
        <v>45611</v>
      </c>
      <c r="S1" s="68">
        <v>45612</v>
      </c>
      <c r="T1" s="68">
        <v>45613</v>
      </c>
      <c r="U1" s="68">
        <v>45614</v>
      </c>
      <c r="V1" s="68">
        <v>45615</v>
      </c>
      <c r="W1" s="68">
        <v>45616</v>
      </c>
      <c r="X1" s="68">
        <v>45617</v>
      </c>
      <c r="Y1" s="68">
        <v>45618</v>
      </c>
      <c r="Z1" s="68">
        <v>45619</v>
      </c>
      <c r="AA1" s="68">
        <v>45620</v>
      </c>
      <c r="AB1" s="68">
        <v>45621</v>
      </c>
      <c r="AC1" s="68">
        <v>45622</v>
      </c>
      <c r="AD1" s="68">
        <v>45623</v>
      </c>
      <c r="AE1" s="68">
        <v>45624</v>
      </c>
      <c r="AF1" s="68">
        <v>45625</v>
      </c>
      <c r="AG1" s="68">
        <v>45626</v>
      </c>
      <c r="AH1" s="68"/>
    </row>
    <row r="2" spans="1:34">
      <c r="A2" s="1" t="s">
        <v>1</v>
      </c>
      <c r="B2" s="1" t="s">
        <v>2</v>
      </c>
      <c r="C2" s="72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4">
      <c r="A3" s="1">
        <v>1</v>
      </c>
      <c r="B3" s="1" t="s">
        <v>3</v>
      </c>
      <c r="C3" s="1">
        <f>SUM(D3:AH3)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2"/>
      <c r="L3" s="2"/>
      <c r="M3" s="1">
        <v>0</v>
      </c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7">
        <v>0</v>
      </c>
      <c r="AC3" s="17">
        <v>0</v>
      </c>
      <c r="AD3" s="17">
        <v>0</v>
      </c>
      <c r="AE3" s="17">
        <v>0</v>
      </c>
      <c r="AF3" s="2"/>
      <c r="AG3" s="2"/>
      <c r="AH3" s="1"/>
    </row>
    <row r="4" spans="1:34">
      <c r="A4" s="1">
        <v>2</v>
      </c>
      <c r="B4" s="1" t="s">
        <v>4</v>
      </c>
      <c r="C4" s="1">
        <f t="shared" ref="C4:C20" si="0">SUM(D4:AH4)</f>
        <v>8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2"/>
      <c r="L4" s="2"/>
      <c r="M4" s="1">
        <v>1</v>
      </c>
      <c r="N4" s="1">
        <v>0</v>
      </c>
      <c r="O4" s="1">
        <v>7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7">
        <v>0</v>
      </c>
      <c r="AC4" s="17">
        <v>0</v>
      </c>
      <c r="AD4" s="17">
        <v>0</v>
      </c>
      <c r="AE4" s="17">
        <v>0</v>
      </c>
      <c r="AF4" s="2"/>
      <c r="AG4" s="2"/>
      <c r="AH4" s="1"/>
    </row>
    <row r="5" spans="1:34">
      <c r="A5" s="1">
        <v>3</v>
      </c>
      <c r="B5" s="1" t="s">
        <v>5</v>
      </c>
      <c r="C5" s="1">
        <f t="shared" si="0"/>
        <v>0</v>
      </c>
      <c r="D5" s="2"/>
      <c r="E5" s="2"/>
      <c r="F5" s="1">
        <v>0</v>
      </c>
      <c r="G5" s="1">
        <v>0</v>
      </c>
      <c r="H5" s="1">
        <v>0</v>
      </c>
      <c r="I5" s="1">
        <v>0</v>
      </c>
      <c r="J5" s="1">
        <v>0</v>
      </c>
      <c r="K5" s="2"/>
      <c r="L5" s="2"/>
      <c r="M5" s="1">
        <v>0</v>
      </c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7">
        <v>0</v>
      </c>
      <c r="AC5" s="17">
        <v>0</v>
      </c>
      <c r="AD5" s="17">
        <v>0</v>
      </c>
      <c r="AE5" s="17">
        <v>0</v>
      </c>
      <c r="AF5" s="2"/>
      <c r="AG5" s="2"/>
      <c r="AH5" s="1"/>
    </row>
    <row r="6" spans="1:34">
      <c r="A6" s="1">
        <v>4</v>
      </c>
      <c r="B6" s="1" t="s">
        <v>6</v>
      </c>
      <c r="C6" s="1">
        <f t="shared" si="0"/>
        <v>0</v>
      </c>
      <c r="D6" s="2"/>
      <c r="E6" s="2"/>
      <c r="F6" s="1">
        <v>0</v>
      </c>
      <c r="G6" s="1">
        <v>0</v>
      </c>
      <c r="H6" s="1">
        <v>0</v>
      </c>
      <c r="I6" s="1">
        <v>0</v>
      </c>
      <c r="J6" s="1">
        <v>0</v>
      </c>
      <c r="K6" s="2"/>
      <c r="L6" s="2"/>
      <c r="M6" s="1">
        <v>0</v>
      </c>
      <c r="N6" s="1">
        <v>0</v>
      </c>
      <c r="O6" s="1">
        <v>0</v>
      </c>
      <c r="P6" s="1">
        <v>0</v>
      </c>
      <c r="Q6" s="1">
        <v>0</v>
      </c>
      <c r="R6" s="2"/>
      <c r="S6" s="2"/>
      <c r="T6" s="1">
        <v>0</v>
      </c>
      <c r="U6" s="1">
        <v>0</v>
      </c>
      <c r="V6" s="1">
        <v>0</v>
      </c>
      <c r="W6" s="1">
        <v>0</v>
      </c>
      <c r="X6" s="1">
        <v>0</v>
      </c>
      <c r="Y6" s="2"/>
      <c r="Z6" s="2"/>
      <c r="AA6" s="1">
        <v>0</v>
      </c>
      <c r="AB6" s="17">
        <v>0</v>
      </c>
      <c r="AC6" s="17">
        <v>0</v>
      </c>
      <c r="AD6" s="17">
        <v>0</v>
      </c>
      <c r="AE6" s="17">
        <v>0</v>
      </c>
      <c r="AF6" s="2"/>
      <c r="AG6" s="2"/>
      <c r="AH6" s="1"/>
    </row>
    <row r="7" spans="1:34">
      <c r="A7" s="1">
        <v>5</v>
      </c>
      <c r="B7" s="1" t="s">
        <v>7</v>
      </c>
      <c r="C7" s="1">
        <f t="shared" si="0"/>
        <v>16</v>
      </c>
      <c r="D7" s="19"/>
      <c r="E7" s="2"/>
      <c r="F7" s="1">
        <v>0</v>
      </c>
      <c r="G7" s="1">
        <v>0</v>
      </c>
      <c r="H7" s="1">
        <v>0</v>
      </c>
      <c r="I7" s="1">
        <v>0</v>
      </c>
      <c r="J7" s="1">
        <v>0</v>
      </c>
      <c r="K7" s="19"/>
      <c r="L7" s="2"/>
      <c r="M7" s="1">
        <v>0</v>
      </c>
      <c r="N7" s="1">
        <v>0</v>
      </c>
      <c r="O7" s="1">
        <v>0</v>
      </c>
      <c r="P7" s="1">
        <v>0</v>
      </c>
      <c r="Q7" s="1">
        <v>16</v>
      </c>
      <c r="R7" s="19"/>
      <c r="S7" s="2"/>
      <c r="T7" s="1">
        <v>0</v>
      </c>
      <c r="U7" s="1">
        <v>0</v>
      </c>
      <c r="V7" s="1">
        <v>0</v>
      </c>
      <c r="W7" s="1">
        <v>0</v>
      </c>
      <c r="X7" s="1">
        <v>0</v>
      </c>
      <c r="Y7" s="19"/>
      <c r="Z7" s="2"/>
      <c r="AA7" s="1">
        <v>0</v>
      </c>
      <c r="AB7" s="17">
        <v>0</v>
      </c>
      <c r="AC7" s="17">
        <v>0</v>
      </c>
      <c r="AD7" s="17">
        <v>0</v>
      </c>
      <c r="AE7" s="17">
        <v>0</v>
      </c>
      <c r="AF7" s="2"/>
      <c r="AG7" s="19"/>
      <c r="AH7" s="17"/>
    </row>
    <row r="8" spans="1:34">
      <c r="A8" s="1">
        <v>6</v>
      </c>
      <c r="B8" s="1" t="s">
        <v>8</v>
      </c>
      <c r="C8" s="1">
        <f t="shared" si="0"/>
        <v>16</v>
      </c>
      <c r="D8" s="2"/>
      <c r="E8" s="2"/>
      <c r="F8" s="1">
        <v>0</v>
      </c>
      <c r="G8" s="1">
        <v>0</v>
      </c>
      <c r="H8" s="1">
        <v>0</v>
      </c>
      <c r="I8" s="1">
        <v>0</v>
      </c>
      <c r="J8" s="1">
        <v>0</v>
      </c>
      <c r="K8" s="2"/>
      <c r="L8" s="2"/>
      <c r="M8" s="1">
        <v>0</v>
      </c>
      <c r="N8" s="1">
        <v>0</v>
      </c>
      <c r="O8" s="1">
        <v>0</v>
      </c>
      <c r="P8" s="1">
        <v>0</v>
      </c>
      <c r="Q8" s="1">
        <v>0</v>
      </c>
      <c r="R8" s="2"/>
      <c r="S8" s="2"/>
      <c r="T8" s="1">
        <v>0</v>
      </c>
      <c r="U8" s="1">
        <v>16</v>
      </c>
      <c r="V8" s="1">
        <v>0</v>
      </c>
      <c r="W8" s="1">
        <v>0</v>
      </c>
      <c r="X8" s="1">
        <v>0</v>
      </c>
      <c r="Y8" s="2"/>
      <c r="Z8" s="2"/>
      <c r="AA8" s="1">
        <v>0</v>
      </c>
      <c r="AB8" s="17">
        <v>0</v>
      </c>
      <c r="AC8" s="17">
        <v>0</v>
      </c>
      <c r="AD8" s="17">
        <v>0</v>
      </c>
      <c r="AE8" s="17">
        <v>0</v>
      </c>
      <c r="AF8" s="2"/>
      <c r="AG8" s="2"/>
      <c r="AH8" s="1"/>
    </row>
    <row r="9" spans="1:34">
      <c r="A9" s="1">
        <v>7</v>
      </c>
      <c r="B9" s="1" t="s">
        <v>9</v>
      </c>
      <c r="C9" s="1">
        <f t="shared" si="0"/>
        <v>27</v>
      </c>
      <c r="D9" s="2"/>
      <c r="E9" s="2"/>
      <c r="F9" s="1">
        <v>0</v>
      </c>
      <c r="G9" s="1">
        <v>0</v>
      </c>
      <c r="H9" s="1">
        <v>0</v>
      </c>
      <c r="I9" s="1">
        <v>0</v>
      </c>
      <c r="J9" s="1">
        <v>0</v>
      </c>
      <c r="K9" s="2"/>
      <c r="L9" s="2"/>
      <c r="M9" s="1">
        <v>0</v>
      </c>
      <c r="N9" s="1">
        <v>0</v>
      </c>
      <c r="O9" s="1">
        <v>0</v>
      </c>
      <c r="P9" s="1">
        <v>16</v>
      </c>
      <c r="Q9" s="1">
        <v>0</v>
      </c>
      <c r="R9" s="2"/>
      <c r="S9" s="2"/>
      <c r="T9" s="1">
        <v>0</v>
      </c>
      <c r="U9" s="1">
        <v>3</v>
      </c>
      <c r="V9" s="1">
        <v>0</v>
      </c>
      <c r="W9" s="1">
        <v>0</v>
      </c>
      <c r="X9" s="1">
        <v>0</v>
      </c>
      <c r="Y9" s="2"/>
      <c r="Z9" s="2"/>
      <c r="AA9" s="1">
        <v>0</v>
      </c>
      <c r="AB9" s="17">
        <v>8</v>
      </c>
      <c r="AC9" s="17">
        <v>0</v>
      </c>
      <c r="AD9" s="17">
        <v>0</v>
      </c>
      <c r="AE9" s="17">
        <v>0</v>
      </c>
      <c r="AF9" s="2"/>
      <c r="AG9" s="19"/>
      <c r="AH9" s="1"/>
    </row>
    <row r="10" spans="1:34">
      <c r="A10" s="1">
        <v>8</v>
      </c>
      <c r="B10" s="1" t="s">
        <v>10</v>
      </c>
      <c r="C10" s="1">
        <f t="shared" si="0"/>
        <v>16</v>
      </c>
      <c r="D10" s="2"/>
      <c r="E10" s="2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/>
      <c r="L10" s="2"/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16</v>
      </c>
      <c r="Y10" s="2"/>
      <c r="Z10" s="2"/>
      <c r="AA10" s="1">
        <v>0</v>
      </c>
      <c r="AB10" s="17">
        <v>0</v>
      </c>
      <c r="AC10" s="17">
        <v>0</v>
      </c>
      <c r="AD10" s="17">
        <v>0</v>
      </c>
      <c r="AE10" s="17">
        <v>0</v>
      </c>
      <c r="AF10" s="2"/>
      <c r="AG10" s="2"/>
      <c r="AH10" s="1"/>
    </row>
    <row r="11" spans="1:34">
      <c r="A11" s="1">
        <v>9</v>
      </c>
      <c r="B11" s="1" t="s">
        <v>11</v>
      </c>
      <c r="C11" s="1">
        <f t="shared" si="0"/>
        <v>16</v>
      </c>
      <c r="D11" s="2"/>
      <c r="E11" s="2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/>
      <c r="L11" s="2"/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16</v>
      </c>
      <c r="V11" s="1">
        <v>0</v>
      </c>
      <c r="W11" s="1">
        <v>0</v>
      </c>
      <c r="X11" s="1">
        <v>0</v>
      </c>
      <c r="Y11" s="2"/>
      <c r="Z11" s="2"/>
      <c r="AA11" s="1">
        <v>0</v>
      </c>
      <c r="AB11" s="17">
        <v>0</v>
      </c>
      <c r="AC11" s="17">
        <v>0</v>
      </c>
      <c r="AD11" s="17">
        <v>0</v>
      </c>
      <c r="AE11" s="17">
        <v>0</v>
      </c>
      <c r="AF11" s="2"/>
      <c r="AG11" s="2"/>
      <c r="AH11" s="1"/>
    </row>
    <row r="12" spans="1:34">
      <c r="A12" s="1">
        <v>10</v>
      </c>
      <c r="B12" s="1" t="s">
        <v>12</v>
      </c>
      <c r="C12" s="1">
        <f t="shared" si="0"/>
        <v>8</v>
      </c>
      <c r="D12" s="21"/>
      <c r="E12" s="2"/>
      <c r="F12" s="1">
        <v>0</v>
      </c>
      <c r="G12" s="1">
        <v>0</v>
      </c>
      <c r="H12" s="1">
        <v>0</v>
      </c>
      <c r="I12" s="1">
        <v>8</v>
      </c>
      <c r="J12" s="1">
        <v>0</v>
      </c>
      <c r="K12" s="21"/>
      <c r="L12" s="2"/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1"/>
      <c r="S12" s="2"/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1"/>
      <c r="Z12" s="2"/>
      <c r="AA12" s="1">
        <v>0</v>
      </c>
      <c r="AB12" s="17">
        <v>0</v>
      </c>
      <c r="AC12" s="17">
        <v>0</v>
      </c>
      <c r="AD12" s="17">
        <v>0</v>
      </c>
      <c r="AE12" s="17">
        <v>0</v>
      </c>
      <c r="AF12" s="2"/>
      <c r="AG12" s="19"/>
      <c r="AH12" s="1"/>
    </row>
    <row r="13" spans="1:34">
      <c r="A13" s="1">
        <v>11</v>
      </c>
      <c r="B13" s="1" t="s">
        <v>13</v>
      </c>
      <c r="C13" s="1">
        <f t="shared" si="0"/>
        <v>16</v>
      </c>
      <c r="D13" s="2"/>
      <c r="E13" s="2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2"/>
      <c r="L13" s="2"/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/>
      <c r="S13" s="2"/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/>
      <c r="Z13" s="2"/>
      <c r="AA13" s="1">
        <v>0</v>
      </c>
      <c r="AB13" s="17">
        <v>0</v>
      </c>
      <c r="AC13" s="17">
        <v>16</v>
      </c>
      <c r="AD13" s="17">
        <v>0</v>
      </c>
      <c r="AE13" s="17">
        <v>0</v>
      </c>
      <c r="AF13" s="2"/>
      <c r="AG13" s="2"/>
      <c r="AH13" s="1"/>
    </row>
    <row r="14" spans="1:34">
      <c r="A14" s="1">
        <v>12</v>
      </c>
      <c r="B14" s="1" t="s">
        <v>14</v>
      </c>
      <c r="C14" s="1">
        <f t="shared" si="0"/>
        <v>8</v>
      </c>
      <c r="D14" s="2"/>
      <c r="E14" s="2"/>
      <c r="F14" s="1">
        <v>0</v>
      </c>
      <c r="G14" s="1">
        <v>8</v>
      </c>
      <c r="H14" s="1">
        <v>0</v>
      </c>
      <c r="I14" s="1">
        <v>0</v>
      </c>
      <c r="J14" s="1">
        <v>0</v>
      </c>
      <c r="K14" s="2"/>
      <c r="L14" s="2"/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"/>
      <c r="S14" s="2"/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/>
      <c r="Z14" s="2"/>
      <c r="AA14" s="1">
        <v>0</v>
      </c>
      <c r="AB14" s="17">
        <v>0</v>
      </c>
      <c r="AC14" s="17">
        <v>0</v>
      </c>
      <c r="AD14" s="17">
        <v>0</v>
      </c>
      <c r="AE14" s="17">
        <v>0</v>
      </c>
      <c r="AF14" s="2"/>
      <c r="AG14" s="19"/>
      <c r="AH14" s="1"/>
    </row>
    <row r="15" spans="1:34" ht="16.25" customHeight="1">
      <c r="A15" s="1">
        <v>13</v>
      </c>
      <c r="B15" s="1" t="s">
        <v>16</v>
      </c>
      <c r="C15" s="1">
        <f t="shared" si="0"/>
        <v>16</v>
      </c>
      <c r="D15" s="2"/>
      <c r="E15" s="2"/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/>
      <c r="L15" s="2"/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/>
      <c r="S15" s="2"/>
      <c r="T15" s="1">
        <v>0</v>
      </c>
      <c r="U15" s="1">
        <v>0</v>
      </c>
      <c r="V15" s="1">
        <v>16</v>
      </c>
      <c r="W15" s="1">
        <v>0</v>
      </c>
      <c r="X15" s="1">
        <v>0</v>
      </c>
      <c r="Y15" s="2"/>
      <c r="Z15" s="2"/>
      <c r="AA15" s="1">
        <v>0</v>
      </c>
      <c r="AB15" s="17">
        <v>0</v>
      </c>
      <c r="AC15" s="17">
        <v>0</v>
      </c>
      <c r="AD15" s="17">
        <v>0</v>
      </c>
      <c r="AE15" s="17">
        <v>0</v>
      </c>
      <c r="AF15" s="2"/>
      <c r="AG15" s="2"/>
      <c r="AH15" s="1"/>
    </row>
    <row r="16" spans="1:34">
      <c r="A16" s="1">
        <v>14</v>
      </c>
      <c r="B16" s="1" t="s">
        <v>60</v>
      </c>
      <c r="C16" s="1">
        <f t="shared" si="0"/>
        <v>8</v>
      </c>
      <c r="D16" s="2"/>
      <c r="E16" s="2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2"/>
      <c r="L16" s="2"/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2"/>
      <c r="S16" s="2"/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/>
      <c r="Z16" s="2"/>
      <c r="AA16" s="1">
        <v>0</v>
      </c>
      <c r="AB16" s="17">
        <v>8</v>
      </c>
      <c r="AC16" s="17">
        <v>0</v>
      </c>
      <c r="AD16" s="17">
        <v>0</v>
      </c>
      <c r="AE16" s="17">
        <v>0</v>
      </c>
      <c r="AF16" s="2"/>
      <c r="AG16" s="2"/>
      <c r="AH16" s="1"/>
    </row>
    <row r="17" spans="1:34">
      <c r="A17" s="1">
        <v>15</v>
      </c>
      <c r="B17" s="1" t="s">
        <v>66</v>
      </c>
      <c r="C17" s="1">
        <f t="shared" si="0"/>
        <v>16</v>
      </c>
      <c r="D17" s="19"/>
      <c r="E17" s="2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9"/>
      <c r="L17" s="2"/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9"/>
      <c r="S17" s="2"/>
      <c r="T17" s="1">
        <v>0</v>
      </c>
      <c r="U17" s="1">
        <v>0</v>
      </c>
      <c r="V17" s="1">
        <v>0</v>
      </c>
      <c r="W17" s="1">
        <v>0</v>
      </c>
      <c r="X17" s="1">
        <v>16</v>
      </c>
      <c r="Y17" s="19"/>
      <c r="Z17" s="2"/>
      <c r="AA17" s="1">
        <v>0</v>
      </c>
      <c r="AB17" s="17">
        <v>0</v>
      </c>
      <c r="AC17" s="17">
        <v>0</v>
      </c>
      <c r="AD17" s="17">
        <v>0</v>
      </c>
      <c r="AE17" s="17">
        <v>0</v>
      </c>
      <c r="AF17" s="2"/>
      <c r="AG17" s="19"/>
      <c r="AH17" s="17"/>
    </row>
    <row r="18" spans="1:34">
      <c r="A18" s="1">
        <v>16</v>
      </c>
      <c r="B18" s="1" t="s">
        <v>87</v>
      </c>
      <c r="C18" s="1">
        <f t="shared" si="0"/>
        <v>16</v>
      </c>
      <c r="D18" s="19"/>
      <c r="E18" s="2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9"/>
      <c r="L18" s="2"/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9"/>
      <c r="S18" s="2"/>
      <c r="T18" s="1">
        <v>0</v>
      </c>
      <c r="U18" s="1">
        <v>0</v>
      </c>
      <c r="V18" s="1">
        <v>0</v>
      </c>
      <c r="W18" s="1">
        <v>0</v>
      </c>
      <c r="X18" s="1">
        <v>16</v>
      </c>
      <c r="Y18" s="19"/>
      <c r="Z18" s="2"/>
      <c r="AA18" s="1">
        <v>0</v>
      </c>
      <c r="AB18" s="17">
        <v>0</v>
      </c>
      <c r="AC18" s="17">
        <v>0</v>
      </c>
      <c r="AD18" s="17">
        <v>0</v>
      </c>
      <c r="AE18" s="17">
        <v>0</v>
      </c>
      <c r="AF18" s="2"/>
      <c r="AG18" s="19"/>
      <c r="AH18" s="17"/>
    </row>
    <row r="19" spans="1:34">
      <c r="A19" s="1">
        <v>17</v>
      </c>
      <c r="B19" s="1" t="s">
        <v>104</v>
      </c>
      <c r="C19" s="1">
        <f t="shared" si="0"/>
        <v>10</v>
      </c>
      <c r="D19" s="19"/>
      <c r="E19" s="2"/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9"/>
      <c r="L19" s="2"/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9"/>
      <c r="S19" s="2"/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9"/>
      <c r="Z19" s="2"/>
      <c r="AA19" s="1">
        <v>0</v>
      </c>
      <c r="AB19" s="17">
        <v>0</v>
      </c>
      <c r="AC19" s="17">
        <v>0</v>
      </c>
      <c r="AD19" s="17">
        <v>10</v>
      </c>
      <c r="AE19" s="17">
        <v>0</v>
      </c>
      <c r="AF19" s="2"/>
      <c r="AG19" s="19"/>
      <c r="AH19" s="17"/>
    </row>
    <row r="20" spans="1:34">
      <c r="A20" s="1">
        <v>18</v>
      </c>
      <c r="B20" s="1" t="s">
        <v>139</v>
      </c>
      <c r="C20" s="1">
        <f t="shared" si="0"/>
        <v>16</v>
      </c>
      <c r="D20" s="19"/>
      <c r="E20" s="2"/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9"/>
      <c r="L20" s="2"/>
      <c r="M20" s="1">
        <v>16</v>
      </c>
      <c r="N20" s="1">
        <v>0</v>
      </c>
      <c r="O20" s="1">
        <v>0</v>
      </c>
      <c r="P20" s="1">
        <v>0</v>
      </c>
      <c r="Q20" s="1">
        <v>0</v>
      </c>
      <c r="R20" s="19"/>
      <c r="S20" s="2"/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9"/>
      <c r="Z20" s="2"/>
      <c r="AA20" s="1">
        <v>0</v>
      </c>
      <c r="AB20" s="17">
        <v>0</v>
      </c>
      <c r="AC20" s="17">
        <v>0</v>
      </c>
      <c r="AD20" s="17">
        <v>0</v>
      </c>
      <c r="AE20" s="17">
        <v>0</v>
      </c>
      <c r="AF20" s="2"/>
      <c r="AG20" s="19"/>
      <c r="AH20" s="17"/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8">
    <cfRule type="duplicateValues" dxfId="5" priority="2"/>
  </conditionalFormatting>
  <conditionalFormatting sqref="B19:B20">
    <cfRule type="duplicateValues" dxfId="4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A1:AM27"/>
  <sheetViews>
    <sheetView tabSelected="1" topLeftCell="C1" workbookViewId="0">
      <selection activeCell="H15" sqref="H15"/>
    </sheetView>
  </sheetViews>
  <sheetFormatPr baseColWidth="10" defaultColWidth="8.83203125" defaultRowHeight="15"/>
  <cols>
    <col min="3" max="3" width="15.33203125" customWidth="1"/>
    <col min="4" max="34" width="8.83203125" customWidth="1"/>
    <col min="35" max="35" width="0" hidden="1" customWidth="1"/>
  </cols>
  <sheetData>
    <row r="1" spans="1:39" ht="28.25" customHeight="1">
      <c r="A1" s="73" t="s">
        <v>19</v>
      </c>
      <c r="B1" s="73"/>
      <c r="C1" s="48" t="s">
        <v>79</v>
      </c>
      <c r="D1" s="68">
        <v>45597</v>
      </c>
      <c r="E1" s="68">
        <v>45598</v>
      </c>
      <c r="F1" s="68">
        <v>45599</v>
      </c>
      <c r="G1" s="68">
        <v>45600</v>
      </c>
      <c r="H1" s="68">
        <v>45601</v>
      </c>
      <c r="I1" s="68">
        <v>45602</v>
      </c>
      <c r="J1" s="68">
        <v>45603</v>
      </c>
      <c r="K1" s="68">
        <v>45604</v>
      </c>
      <c r="L1" s="68">
        <v>45605</v>
      </c>
      <c r="M1" s="68">
        <v>45606</v>
      </c>
      <c r="N1" s="68">
        <v>45607</v>
      </c>
      <c r="O1" s="68">
        <v>45608</v>
      </c>
      <c r="P1" s="68">
        <v>45609</v>
      </c>
      <c r="Q1" s="68">
        <v>45610</v>
      </c>
      <c r="R1" s="68">
        <v>45611</v>
      </c>
      <c r="S1" s="68">
        <v>45612</v>
      </c>
      <c r="T1" s="68">
        <v>45613</v>
      </c>
      <c r="U1" s="68">
        <v>45614</v>
      </c>
      <c r="V1" s="68">
        <v>45615</v>
      </c>
      <c r="W1" s="68">
        <v>45616</v>
      </c>
      <c r="X1" s="68">
        <v>45617</v>
      </c>
      <c r="Y1" s="68">
        <v>45618</v>
      </c>
      <c r="Z1" s="68">
        <v>45619</v>
      </c>
      <c r="AA1" s="68">
        <v>45620</v>
      </c>
      <c r="AB1" s="68">
        <v>45621</v>
      </c>
      <c r="AC1" s="68">
        <v>45622</v>
      </c>
      <c r="AD1" s="68">
        <v>45623</v>
      </c>
      <c r="AE1" s="68">
        <v>45624</v>
      </c>
      <c r="AF1" s="68">
        <v>45625</v>
      </c>
      <c r="AG1" s="68">
        <v>45626</v>
      </c>
      <c r="AH1" s="68"/>
    </row>
    <row r="2" spans="1:39">
      <c r="A2" s="1" t="s">
        <v>1</v>
      </c>
      <c r="B2" s="1" t="s">
        <v>2</v>
      </c>
      <c r="C2" s="4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</row>
    <row r="3" spans="1:39">
      <c r="A3" s="1">
        <v>1</v>
      </c>
      <c r="B3" s="1" t="s">
        <v>3</v>
      </c>
      <c r="C3" s="1">
        <f>SUM(D3:AH3)</f>
        <v>0</v>
      </c>
      <c r="D3" s="2"/>
      <c r="E3" s="2"/>
      <c r="F3" s="1">
        <v>0</v>
      </c>
      <c r="G3" s="1">
        <v>0</v>
      </c>
      <c r="H3" s="1">
        <v>0</v>
      </c>
      <c r="I3" s="1">
        <v>0</v>
      </c>
      <c r="J3" s="1">
        <v>0</v>
      </c>
      <c r="K3" s="2"/>
      <c r="L3" s="2"/>
      <c r="M3" s="1">
        <v>0</v>
      </c>
      <c r="N3" s="1">
        <v>0</v>
      </c>
      <c r="O3" s="1">
        <v>0</v>
      </c>
      <c r="P3" s="1">
        <v>0</v>
      </c>
      <c r="Q3" s="1">
        <v>0</v>
      </c>
      <c r="R3" s="2"/>
      <c r="S3" s="2"/>
      <c r="T3" s="1">
        <v>0</v>
      </c>
      <c r="U3" s="1">
        <v>0</v>
      </c>
      <c r="V3" s="1">
        <v>0</v>
      </c>
      <c r="W3" s="1">
        <v>0</v>
      </c>
      <c r="X3" s="1">
        <v>0</v>
      </c>
      <c r="Y3" s="2"/>
      <c r="Z3" s="2"/>
      <c r="AA3" s="1">
        <v>0</v>
      </c>
      <c r="AB3" s="17">
        <v>0</v>
      </c>
      <c r="AC3" s="17">
        <v>0</v>
      </c>
      <c r="AD3" s="17">
        <v>0</v>
      </c>
      <c r="AE3" s="17">
        <v>0</v>
      </c>
      <c r="AF3" s="2"/>
      <c r="AG3" s="2"/>
      <c r="AH3" s="1"/>
    </row>
    <row r="4" spans="1:39">
      <c r="A4" s="1">
        <v>2</v>
      </c>
      <c r="B4" s="1" t="s">
        <v>4</v>
      </c>
      <c r="C4" s="1">
        <f t="shared" ref="C4:C18" si="0">SUM(D4:AH4)</f>
        <v>0</v>
      </c>
      <c r="D4" s="2"/>
      <c r="E4" s="2"/>
      <c r="F4" s="1">
        <v>0</v>
      </c>
      <c r="G4" s="1">
        <v>0</v>
      </c>
      <c r="H4" s="1">
        <v>0</v>
      </c>
      <c r="I4" s="1">
        <v>0</v>
      </c>
      <c r="J4" s="1">
        <v>0</v>
      </c>
      <c r="K4" s="2"/>
      <c r="L4" s="2"/>
      <c r="M4" s="1">
        <v>0</v>
      </c>
      <c r="N4" s="1">
        <v>0</v>
      </c>
      <c r="O4" s="1">
        <v>0</v>
      </c>
      <c r="P4" s="1">
        <v>0</v>
      </c>
      <c r="Q4" s="1">
        <v>0</v>
      </c>
      <c r="R4" s="2"/>
      <c r="S4" s="2"/>
      <c r="T4" s="1">
        <v>0</v>
      </c>
      <c r="U4" s="1">
        <v>0</v>
      </c>
      <c r="V4" s="1">
        <v>0</v>
      </c>
      <c r="W4" s="1">
        <v>0</v>
      </c>
      <c r="X4" s="1">
        <v>0</v>
      </c>
      <c r="Y4" s="2"/>
      <c r="Z4" s="2"/>
      <c r="AA4" s="1">
        <v>0</v>
      </c>
      <c r="AB4" s="17">
        <v>0</v>
      </c>
      <c r="AC4" s="17">
        <v>0</v>
      </c>
      <c r="AD4" s="17">
        <v>0</v>
      </c>
      <c r="AE4" s="17">
        <v>0</v>
      </c>
      <c r="AF4" s="2"/>
      <c r="AG4" s="2"/>
      <c r="AH4" s="1"/>
    </row>
    <row r="5" spans="1:39">
      <c r="A5" s="1">
        <v>3</v>
      </c>
      <c r="B5" s="1" t="s">
        <v>5</v>
      </c>
      <c r="C5" s="1">
        <f t="shared" si="0"/>
        <v>0</v>
      </c>
      <c r="D5" s="2"/>
      <c r="E5" s="2"/>
      <c r="F5" s="1">
        <v>0</v>
      </c>
      <c r="G5" s="1">
        <v>0</v>
      </c>
      <c r="H5" s="1">
        <v>0</v>
      </c>
      <c r="I5" s="1">
        <v>0</v>
      </c>
      <c r="J5" s="1">
        <v>0</v>
      </c>
      <c r="K5" s="2"/>
      <c r="L5" s="2"/>
      <c r="M5" s="1">
        <v>0</v>
      </c>
      <c r="N5" s="1">
        <v>0</v>
      </c>
      <c r="O5" s="1">
        <v>0</v>
      </c>
      <c r="P5" s="1">
        <v>0</v>
      </c>
      <c r="Q5" s="1">
        <v>0</v>
      </c>
      <c r="R5" s="2"/>
      <c r="S5" s="2"/>
      <c r="T5" s="1">
        <v>0</v>
      </c>
      <c r="U5" s="1">
        <v>0</v>
      </c>
      <c r="V5" s="1">
        <v>0</v>
      </c>
      <c r="W5" s="1">
        <v>0</v>
      </c>
      <c r="X5" s="1">
        <v>0</v>
      </c>
      <c r="Y5" s="2"/>
      <c r="Z5" s="2"/>
      <c r="AA5" s="1">
        <v>0</v>
      </c>
      <c r="AB5" s="17">
        <v>0</v>
      </c>
      <c r="AC5" s="17">
        <v>0</v>
      </c>
      <c r="AD5" s="17">
        <v>0</v>
      </c>
      <c r="AE5" s="17">
        <v>0</v>
      </c>
      <c r="AF5" s="2"/>
      <c r="AG5" s="2"/>
      <c r="AH5" s="1"/>
    </row>
    <row r="6" spans="1:39">
      <c r="A6" s="1">
        <v>4</v>
      </c>
      <c r="B6" s="1" t="s">
        <v>6</v>
      </c>
      <c r="C6" s="1">
        <f t="shared" si="0"/>
        <v>20</v>
      </c>
      <c r="D6" s="2"/>
      <c r="E6" s="2"/>
      <c r="F6" s="1">
        <v>0</v>
      </c>
      <c r="G6" s="1">
        <v>0</v>
      </c>
      <c r="H6" s="1">
        <v>0</v>
      </c>
      <c r="I6" s="1">
        <v>1</v>
      </c>
      <c r="J6" s="1">
        <v>1</v>
      </c>
      <c r="K6" s="2"/>
      <c r="L6" s="2"/>
      <c r="M6" s="1">
        <v>0</v>
      </c>
      <c r="N6" s="1">
        <v>1</v>
      </c>
      <c r="O6" s="1">
        <v>0</v>
      </c>
      <c r="P6" s="1">
        <v>1</v>
      </c>
      <c r="Q6" s="1">
        <v>1</v>
      </c>
      <c r="R6" s="2"/>
      <c r="S6" s="2"/>
      <c r="T6" s="1">
        <v>3</v>
      </c>
      <c r="U6" s="1">
        <v>1</v>
      </c>
      <c r="V6" s="1">
        <v>3</v>
      </c>
      <c r="W6" s="1">
        <v>1</v>
      </c>
      <c r="X6" s="1">
        <v>1</v>
      </c>
      <c r="Y6" s="2"/>
      <c r="Z6" s="2"/>
      <c r="AA6" s="1">
        <v>3</v>
      </c>
      <c r="AB6" s="17">
        <v>1</v>
      </c>
      <c r="AC6" s="17">
        <v>1</v>
      </c>
      <c r="AD6" s="17">
        <v>1</v>
      </c>
      <c r="AE6" s="17">
        <v>0</v>
      </c>
      <c r="AF6" s="2"/>
      <c r="AG6" s="2"/>
      <c r="AH6" s="1"/>
    </row>
    <row r="7" spans="1:39">
      <c r="A7" s="1">
        <v>5</v>
      </c>
      <c r="B7" s="1" t="s">
        <v>7</v>
      </c>
      <c r="C7" s="1">
        <f t="shared" si="0"/>
        <v>56</v>
      </c>
      <c r="D7" s="41">
        <v>2</v>
      </c>
      <c r="E7" s="2"/>
      <c r="F7" s="34">
        <v>4</v>
      </c>
      <c r="G7" s="34">
        <v>4</v>
      </c>
      <c r="H7" s="1">
        <v>0</v>
      </c>
      <c r="I7" s="34">
        <v>8</v>
      </c>
      <c r="J7" s="34">
        <v>5</v>
      </c>
      <c r="K7" s="10">
        <v>2</v>
      </c>
      <c r="L7" s="2"/>
      <c r="M7" s="1">
        <v>0</v>
      </c>
      <c r="N7" s="1">
        <v>0</v>
      </c>
      <c r="O7" s="1">
        <v>0</v>
      </c>
      <c r="P7" s="1">
        <v>0</v>
      </c>
      <c r="Q7" s="1">
        <v>0</v>
      </c>
      <c r="R7" s="19"/>
      <c r="S7" s="2"/>
      <c r="T7" s="1">
        <v>0</v>
      </c>
      <c r="U7" s="1">
        <v>2</v>
      </c>
      <c r="V7" s="1">
        <v>0</v>
      </c>
      <c r="W7" s="34">
        <v>4</v>
      </c>
      <c r="X7" s="34">
        <v>7</v>
      </c>
      <c r="Y7" s="10">
        <v>2</v>
      </c>
      <c r="Z7" s="2"/>
      <c r="AA7" s="34">
        <v>4</v>
      </c>
      <c r="AB7" s="34">
        <v>4</v>
      </c>
      <c r="AC7" s="17">
        <v>0</v>
      </c>
      <c r="AD7" s="45">
        <v>4</v>
      </c>
      <c r="AE7" s="45">
        <v>4</v>
      </c>
      <c r="AF7" s="2"/>
      <c r="AG7" s="19"/>
      <c r="AH7" s="17"/>
    </row>
    <row r="8" spans="1:39">
      <c r="A8" s="1">
        <v>6</v>
      </c>
      <c r="B8" s="1" t="s">
        <v>8</v>
      </c>
      <c r="C8" s="1">
        <f t="shared" si="0"/>
        <v>20</v>
      </c>
      <c r="D8" s="2"/>
      <c r="E8" s="2"/>
      <c r="F8" s="1">
        <v>1</v>
      </c>
      <c r="G8" s="1">
        <v>2</v>
      </c>
      <c r="H8" s="1">
        <v>4</v>
      </c>
      <c r="I8" s="1">
        <v>1</v>
      </c>
      <c r="J8" s="1">
        <v>0</v>
      </c>
      <c r="K8" s="2"/>
      <c r="L8" s="2"/>
      <c r="M8" s="1">
        <v>1</v>
      </c>
      <c r="N8" s="1">
        <v>1</v>
      </c>
      <c r="O8" s="1">
        <v>1</v>
      </c>
      <c r="P8" s="1">
        <v>1</v>
      </c>
      <c r="Q8" s="1">
        <v>0</v>
      </c>
      <c r="R8" s="2"/>
      <c r="S8" s="2"/>
      <c r="T8" s="1">
        <v>0</v>
      </c>
      <c r="U8" s="1">
        <v>0</v>
      </c>
      <c r="V8" s="1">
        <v>1</v>
      </c>
      <c r="W8" s="1">
        <v>1</v>
      </c>
      <c r="X8" s="1">
        <v>0</v>
      </c>
      <c r="Y8" s="2"/>
      <c r="Z8" s="2"/>
      <c r="AA8" s="1">
        <v>1</v>
      </c>
      <c r="AB8" s="1">
        <v>1</v>
      </c>
      <c r="AC8" s="17">
        <v>2</v>
      </c>
      <c r="AD8" s="17">
        <v>1</v>
      </c>
      <c r="AE8" s="17">
        <v>1</v>
      </c>
      <c r="AF8" s="2"/>
      <c r="AG8" s="2"/>
      <c r="AH8" s="1"/>
    </row>
    <row r="9" spans="1:39">
      <c r="A9" s="1">
        <v>0</v>
      </c>
      <c r="B9" s="1" t="s">
        <v>9</v>
      </c>
      <c r="C9" s="1">
        <f t="shared" si="0"/>
        <v>5</v>
      </c>
      <c r="D9" s="2"/>
      <c r="E9" s="2"/>
      <c r="F9" s="1">
        <v>0</v>
      </c>
      <c r="G9" s="1">
        <v>0</v>
      </c>
      <c r="H9" s="1">
        <v>0</v>
      </c>
      <c r="I9" s="1">
        <v>0</v>
      </c>
      <c r="J9" s="1">
        <v>0</v>
      </c>
      <c r="K9" s="2"/>
      <c r="L9" s="2"/>
      <c r="M9" s="1">
        <v>0</v>
      </c>
      <c r="N9" s="1">
        <v>0</v>
      </c>
      <c r="O9" s="1">
        <v>0</v>
      </c>
      <c r="P9" s="1">
        <v>2</v>
      </c>
      <c r="Q9" s="1">
        <v>1</v>
      </c>
      <c r="R9" s="2"/>
      <c r="S9" s="2"/>
      <c r="T9" s="1">
        <v>1</v>
      </c>
      <c r="U9" s="1">
        <v>0</v>
      </c>
      <c r="V9" s="1">
        <v>0</v>
      </c>
      <c r="W9" s="1">
        <v>0</v>
      </c>
      <c r="X9" s="1">
        <v>0</v>
      </c>
      <c r="Y9" s="2"/>
      <c r="Z9" s="2"/>
      <c r="AA9" s="1">
        <v>0</v>
      </c>
      <c r="AB9" s="1">
        <v>0</v>
      </c>
      <c r="AC9" s="17">
        <v>0</v>
      </c>
      <c r="AD9" s="17">
        <v>1</v>
      </c>
      <c r="AE9" s="17">
        <v>0</v>
      </c>
      <c r="AF9" s="2"/>
      <c r="AG9" s="19"/>
      <c r="AH9" s="1"/>
    </row>
    <row r="10" spans="1:39">
      <c r="A10" s="1">
        <v>8</v>
      </c>
      <c r="B10" s="1" t="s">
        <v>10</v>
      </c>
      <c r="C10" s="1">
        <f t="shared" si="0"/>
        <v>17</v>
      </c>
      <c r="D10" s="2"/>
      <c r="E10" s="2"/>
      <c r="F10" s="1">
        <v>2</v>
      </c>
      <c r="G10" s="1">
        <v>4</v>
      </c>
      <c r="H10" s="1">
        <v>4</v>
      </c>
      <c r="I10" s="1">
        <v>2</v>
      </c>
      <c r="J10" s="1">
        <v>3</v>
      </c>
      <c r="K10" s="2"/>
      <c r="L10" s="2"/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2"/>
      <c r="S10" s="2"/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/>
      <c r="Z10" s="2"/>
      <c r="AA10" s="1">
        <v>0</v>
      </c>
      <c r="AB10" s="1">
        <v>0</v>
      </c>
      <c r="AC10" s="17">
        <v>0</v>
      </c>
      <c r="AD10" s="17">
        <v>0</v>
      </c>
      <c r="AE10" s="17">
        <v>0</v>
      </c>
      <c r="AF10" s="2"/>
      <c r="AG10" s="2"/>
      <c r="AH10" s="1"/>
    </row>
    <row r="11" spans="1:39">
      <c r="A11" s="1">
        <v>9</v>
      </c>
      <c r="B11" s="1" t="s">
        <v>11</v>
      </c>
      <c r="C11" s="1">
        <f t="shared" si="0"/>
        <v>63</v>
      </c>
      <c r="D11" s="10">
        <v>2</v>
      </c>
      <c r="E11" s="2"/>
      <c r="F11" s="34">
        <v>7</v>
      </c>
      <c r="G11" s="34">
        <v>4</v>
      </c>
      <c r="H11" s="1">
        <v>0</v>
      </c>
      <c r="I11" s="34">
        <v>8</v>
      </c>
      <c r="J11" s="34">
        <v>4</v>
      </c>
      <c r="K11" s="10">
        <v>2</v>
      </c>
      <c r="L11" s="2"/>
      <c r="M11" s="1">
        <v>0</v>
      </c>
      <c r="N11" s="1">
        <v>4</v>
      </c>
      <c r="O11" s="1">
        <v>0</v>
      </c>
      <c r="P11" s="1">
        <v>0</v>
      </c>
      <c r="Q11" s="1">
        <v>0</v>
      </c>
      <c r="R11" s="2"/>
      <c r="S11" s="2"/>
      <c r="T11" s="1">
        <v>0</v>
      </c>
      <c r="U11" s="1">
        <v>4</v>
      </c>
      <c r="V11" s="1">
        <v>0</v>
      </c>
      <c r="W11" s="34">
        <v>6</v>
      </c>
      <c r="X11" s="34">
        <v>4</v>
      </c>
      <c r="Y11" s="10">
        <v>2</v>
      </c>
      <c r="Z11" s="2"/>
      <c r="AA11" s="45">
        <v>4</v>
      </c>
      <c r="AB11" s="34">
        <v>4</v>
      </c>
      <c r="AC11" s="17">
        <v>0</v>
      </c>
      <c r="AD11" s="45">
        <v>4</v>
      </c>
      <c r="AE11" s="45">
        <v>4</v>
      </c>
      <c r="AF11" s="2"/>
      <c r="AG11" s="2"/>
      <c r="AH11" s="1"/>
    </row>
    <row r="12" spans="1:39">
      <c r="A12" s="1">
        <v>10</v>
      </c>
      <c r="B12" s="1" t="s">
        <v>12</v>
      </c>
      <c r="C12" s="1">
        <f t="shared" si="0"/>
        <v>58</v>
      </c>
      <c r="D12" s="21"/>
      <c r="E12" s="2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1"/>
      <c r="L12" s="2"/>
      <c r="M12" s="1">
        <v>4</v>
      </c>
      <c r="N12" s="1">
        <v>6</v>
      </c>
      <c r="O12" s="1">
        <v>6</v>
      </c>
      <c r="P12" s="1">
        <v>6</v>
      </c>
      <c r="Q12" s="1">
        <v>6</v>
      </c>
      <c r="R12" s="21"/>
      <c r="S12" s="2"/>
      <c r="T12" s="1">
        <v>4</v>
      </c>
      <c r="U12" s="1">
        <v>4</v>
      </c>
      <c r="V12" s="1">
        <v>0</v>
      </c>
      <c r="W12" s="1">
        <v>2</v>
      </c>
      <c r="X12" s="1">
        <v>2</v>
      </c>
      <c r="Y12" s="21"/>
      <c r="Z12" s="2"/>
      <c r="AA12" s="1">
        <v>3</v>
      </c>
      <c r="AB12" s="17">
        <v>3</v>
      </c>
      <c r="AC12" s="17">
        <v>4</v>
      </c>
      <c r="AD12" s="17">
        <v>4</v>
      </c>
      <c r="AE12" s="17">
        <v>4</v>
      </c>
      <c r="AF12" s="2"/>
      <c r="AG12" s="19"/>
      <c r="AH12" s="1"/>
    </row>
    <row r="13" spans="1:39">
      <c r="A13" s="1">
        <v>11</v>
      </c>
      <c r="B13" s="1" t="s">
        <v>13</v>
      </c>
      <c r="C13" s="1">
        <f t="shared" si="0"/>
        <v>69</v>
      </c>
      <c r="D13" s="10">
        <v>2</v>
      </c>
      <c r="E13" s="2"/>
      <c r="F13" s="34">
        <v>4</v>
      </c>
      <c r="G13" s="34">
        <v>4</v>
      </c>
      <c r="H13" s="34">
        <v>4</v>
      </c>
      <c r="I13" s="34">
        <v>4</v>
      </c>
      <c r="J13" s="34">
        <v>4</v>
      </c>
      <c r="K13" s="10">
        <v>2</v>
      </c>
      <c r="L13" s="2"/>
      <c r="M13" s="34">
        <v>4</v>
      </c>
      <c r="N13" s="34">
        <v>4</v>
      </c>
      <c r="O13" s="34">
        <v>4</v>
      </c>
      <c r="P13" s="34">
        <v>4</v>
      </c>
      <c r="Q13" s="34">
        <v>7</v>
      </c>
      <c r="R13" s="10">
        <v>2</v>
      </c>
      <c r="S13" s="2"/>
      <c r="T13" s="34">
        <v>4</v>
      </c>
      <c r="U13" s="34">
        <v>4</v>
      </c>
      <c r="V13" s="34">
        <v>4</v>
      </c>
      <c r="W13" s="34">
        <v>8</v>
      </c>
      <c r="X13" s="1">
        <v>0</v>
      </c>
      <c r="Y13" s="2"/>
      <c r="Z13" s="2"/>
      <c r="AA13" s="1"/>
      <c r="AB13" s="17">
        <v>0</v>
      </c>
      <c r="AC13" s="17">
        <v>0</v>
      </c>
      <c r="AD13" s="17">
        <v>0</v>
      </c>
      <c r="AE13" s="17">
        <v>0</v>
      </c>
      <c r="AF13" s="2"/>
      <c r="AG13" s="2"/>
      <c r="AH13" s="1"/>
    </row>
    <row r="14" spans="1:39">
      <c r="A14" s="1">
        <v>12</v>
      </c>
      <c r="B14" s="1" t="s">
        <v>14</v>
      </c>
      <c r="C14" s="1">
        <f t="shared" si="0"/>
        <v>74</v>
      </c>
      <c r="D14" s="10">
        <v>2</v>
      </c>
      <c r="E14" s="2"/>
      <c r="F14" s="1">
        <v>0</v>
      </c>
      <c r="G14" s="1">
        <v>0</v>
      </c>
      <c r="H14" s="1">
        <v>0</v>
      </c>
      <c r="I14" s="34">
        <v>8</v>
      </c>
      <c r="J14" s="34">
        <v>4</v>
      </c>
      <c r="K14" s="10">
        <v>2</v>
      </c>
      <c r="L14" s="2"/>
      <c r="M14" s="34">
        <v>4</v>
      </c>
      <c r="N14" s="34">
        <v>4</v>
      </c>
      <c r="O14" s="34">
        <v>4</v>
      </c>
      <c r="P14" s="34">
        <v>4</v>
      </c>
      <c r="Q14" s="34">
        <v>7</v>
      </c>
      <c r="R14" s="10">
        <v>2</v>
      </c>
      <c r="S14" s="2"/>
      <c r="T14" s="34">
        <v>4</v>
      </c>
      <c r="U14" s="34">
        <v>4</v>
      </c>
      <c r="V14" s="34">
        <v>8</v>
      </c>
      <c r="W14" s="34">
        <v>8</v>
      </c>
      <c r="X14" s="34">
        <v>7</v>
      </c>
      <c r="Y14" s="10">
        <v>2</v>
      </c>
      <c r="Z14" s="2"/>
      <c r="AA14" s="1">
        <v>0</v>
      </c>
      <c r="AB14" s="17">
        <v>0</v>
      </c>
      <c r="AC14" s="17">
        <v>0</v>
      </c>
      <c r="AD14" s="17">
        <v>0</v>
      </c>
      <c r="AE14" s="17">
        <v>0</v>
      </c>
      <c r="AF14" s="2"/>
      <c r="AG14" s="19"/>
      <c r="AH14" s="1"/>
    </row>
    <row r="15" spans="1:39" ht="16.25" customHeight="1">
      <c r="A15" s="1">
        <v>13</v>
      </c>
      <c r="B15" s="1" t="s">
        <v>16</v>
      </c>
      <c r="C15" s="1">
        <f t="shared" si="0"/>
        <v>82</v>
      </c>
      <c r="D15" s="2"/>
      <c r="E15" s="2"/>
      <c r="F15" s="1">
        <v>0</v>
      </c>
      <c r="G15" s="1">
        <v>8</v>
      </c>
      <c r="H15" s="1">
        <v>8</v>
      </c>
      <c r="I15" s="1">
        <v>5</v>
      </c>
      <c r="J15" s="1">
        <v>6</v>
      </c>
      <c r="K15" s="2"/>
      <c r="L15" s="2"/>
      <c r="M15" s="1">
        <v>8</v>
      </c>
      <c r="N15" s="1">
        <v>8</v>
      </c>
      <c r="O15" s="1">
        <v>5</v>
      </c>
      <c r="P15" s="1">
        <v>7</v>
      </c>
      <c r="Q15" s="1">
        <v>0</v>
      </c>
      <c r="R15" s="2"/>
      <c r="S15" s="2"/>
      <c r="T15" s="1">
        <v>0</v>
      </c>
      <c r="U15" s="1">
        <v>0</v>
      </c>
      <c r="V15" s="1">
        <v>0</v>
      </c>
      <c r="W15" s="1">
        <v>0</v>
      </c>
      <c r="X15" s="34">
        <v>8</v>
      </c>
      <c r="Y15" s="2"/>
      <c r="Z15" s="2"/>
      <c r="AA15" s="1">
        <v>3</v>
      </c>
      <c r="AB15" s="17">
        <v>3</v>
      </c>
      <c r="AC15" s="17">
        <v>4</v>
      </c>
      <c r="AD15" s="17">
        <v>5</v>
      </c>
      <c r="AE15" s="17">
        <v>4</v>
      </c>
      <c r="AF15" s="2"/>
      <c r="AG15" s="2"/>
      <c r="AH15" s="1"/>
    </row>
    <row r="16" spans="1:39">
      <c r="A16" s="1">
        <v>14</v>
      </c>
      <c r="B16" s="1" t="s">
        <v>60</v>
      </c>
      <c r="C16" s="1">
        <f t="shared" si="0"/>
        <v>92</v>
      </c>
      <c r="D16" s="10">
        <v>2</v>
      </c>
      <c r="E16" s="2"/>
      <c r="F16" s="34">
        <v>4</v>
      </c>
      <c r="G16" s="34">
        <v>10</v>
      </c>
      <c r="H16" s="34">
        <v>4</v>
      </c>
      <c r="I16" s="34">
        <v>8</v>
      </c>
      <c r="J16" s="34">
        <v>8</v>
      </c>
      <c r="K16" s="10">
        <v>2</v>
      </c>
      <c r="L16" s="2"/>
      <c r="M16" s="34">
        <v>8</v>
      </c>
      <c r="N16" s="34">
        <v>4</v>
      </c>
      <c r="O16" s="34">
        <v>8</v>
      </c>
      <c r="P16" s="34">
        <v>4</v>
      </c>
      <c r="Q16" s="34">
        <v>4</v>
      </c>
      <c r="R16" s="10">
        <v>2</v>
      </c>
      <c r="S16" s="2"/>
      <c r="T16" s="34">
        <v>4</v>
      </c>
      <c r="U16" s="34">
        <v>4</v>
      </c>
      <c r="V16" s="34">
        <v>8</v>
      </c>
      <c r="W16" s="34">
        <v>8</v>
      </c>
      <c r="X16" s="1">
        <v>0</v>
      </c>
      <c r="Y16" s="2"/>
      <c r="Z16" s="2"/>
      <c r="AA16" s="1">
        <v>0</v>
      </c>
      <c r="AB16" s="17">
        <v>0</v>
      </c>
      <c r="AC16" s="17">
        <v>0</v>
      </c>
      <c r="AD16" s="17">
        <v>0</v>
      </c>
      <c r="AE16" s="17">
        <v>0</v>
      </c>
      <c r="AF16" s="2"/>
      <c r="AG16" s="2"/>
      <c r="AH16" s="1"/>
      <c r="AM16">
        <v>1</v>
      </c>
    </row>
    <row r="17" spans="1:34">
      <c r="A17" s="1">
        <v>15</v>
      </c>
      <c r="B17" s="1" t="s">
        <v>66</v>
      </c>
      <c r="C17" s="1">
        <f t="shared" si="0"/>
        <v>71</v>
      </c>
      <c r="D17" s="19"/>
      <c r="E17" s="2"/>
      <c r="F17" s="1">
        <v>0</v>
      </c>
      <c r="G17" s="1">
        <v>5</v>
      </c>
      <c r="H17" s="1">
        <v>9</v>
      </c>
      <c r="I17" s="1">
        <v>0</v>
      </c>
      <c r="J17" s="1">
        <v>0</v>
      </c>
      <c r="K17" s="19"/>
      <c r="L17" s="2"/>
      <c r="M17" s="1">
        <v>6</v>
      </c>
      <c r="N17" s="1">
        <v>0</v>
      </c>
      <c r="O17" s="1">
        <v>10</v>
      </c>
      <c r="P17" s="1">
        <v>0</v>
      </c>
      <c r="Q17" s="1">
        <v>0</v>
      </c>
      <c r="R17" s="19"/>
      <c r="S17" s="2"/>
      <c r="T17" s="1">
        <v>0</v>
      </c>
      <c r="U17" s="1">
        <v>8</v>
      </c>
      <c r="V17" s="1">
        <v>5</v>
      </c>
      <c r="W17" s="1">
        <v>0</v>
      </c>
      <c r="X17" s="1">
        <v>0</v>
      </c>
      <c r="Y17" s="19"/>
      <c r="Z17" s="2"/>
      <c r="AA17" s="1">
        <v>0</v>
      </c>
      <c r="AB17" s="17">
        <v>9</v>
      </c>
      <c r="AC17" s="17">
        <v>8</v>
      </c>
      <c r="AD17" s="17">
        <v>10</v>
      </c>
      <c r="AE17" s="17">
        <v>1</v>
      </c>
      <c r="AF17" s="2"/>
      <c r="AG17" s="19"/>
      <c r="AH17" s="17"/>
    </row>
    <row r="18" spans="1:34">
      <c r="A18" s="1">
        <v>16</v>
      </c>
      <c r="B18" s="1" t="s">
        <v>87</v>
      </c>
      <c r="C18" s="1">
        <f t="shared" si="0"/>
        <v>71</v>
      </c>
      <c r="D18" s="19"/>
      <c r="E18" s="2"/>
      <c r="F18" s="1">
        <v>0</v>
      </c>
      <c r="G18" s="1">
        <v>5</v>
      </c>
      <c r="H18" s="1">
        <v>9</v>
      </c>
      <c r="I18" s="1">
        <v>0</v>
      </c>
      <c r="J18" s="1">
        <v>0</v>
      </c>
      <c r="K18" s="19"/>
      <c r="L18" s="2"/>
      <c r="M18" s="1">
        <v>6</v>
      </c>
      <c r="N18" s="1">
        <v>0</v>
      </c>
      <c r="O18" s="1">
        <v>10</v>
      </c>
      <c r="P18" s="1">
        <v>0</v>
      </c>
      <c r="Q18" s="1">
        <v>0</v>
      </c>
      <c r="R18" s="19"/>
      <c r="S18" s="2"/>
      <c r="T18" s="1">
        <v>0</v>
      </c>
      <c r="U18" s="1">
        <v>8</v>
      </c>
      <c r="V18" s="1">
        <v>5</v>
      </c>
      <c r="W18" s="1">
        <v>0</v>
      </c>
      <c r="X18" s="1">
        <v>0</v>
      </c>
      <c r="Y18" s="19"/>
      <c r="Z18" s="2"/>
      <c r="AA18" s="1">
        <v>0</v>
      </c>
      <c r="AB18" s="17">
        <v>9</v>
      </c>
      <c r="AC18" s="17">
        <v>8</v>
      </c>
      <c r="AD18" s="17">
        <v>10</v>
      </c>
      <c r="AE18" s="17">
        <v>1</v>
      </c>
      <c r="AF18" s="2"/>
      <c r="AG18" s="19"/>
      <c r="AH18" s="17"/>
    </row>
    <row r="19" spans="1:34">
      <c r="A19" s="1">
        <v>17</v>
      </c>
      <c r="B19" s="1" t="s">
        <v>104</v>
      </c>
      <c r="C19" s="1">
        <f>SUM(D19:AH19)</f>
        <v>29</v>
      </c>
      <c r="D19" s="19"/>
      <c r="E19" s="2"/>
      <c r="F19" s="1">
        <v>1</v>
      </c>
      <c r="G19" s="1">
        <v>4</v>
      </c>
      <c r="H19" s="1">
        <v>5</v>
      </c>
      <c r="I19" s="1">
        <v>3</v>
      </c>
      <c r="J19" s="1">
        <v>0</v>
      </c>
      <c r="K19" s="19"/>
      <c r="L19" s="2"/>
      <c r="M19" s="1">
        <v>3</v>
      </c>
      <c r="N19" s="1">
        <v>0</v>
      </c>
      <c r="O19" s="1">
        <v>4</v>
      </c>
      <c r="P19" s="1">
        <v>1</v>
      </c>
      <c r="Q19" s="1">
        <v>1</v>
      </c>
      <c r="R19" s="19"/>
      <c r="S19" s="2"/>
      <c r="T19" s="1">
        <v>0</v>
      </c>
      <c r="U19" s="1">
        <v>0</v>
      </c>
      <c r="V19" s="1">
        <v>4</v>
      </c>
      <c r="W19" s="1">
        <v>0</v>
      </c>
      <c r="X19" s="1">
        <v>0</v>
      </c>
      <c r="Y19" s="19"/>
      <c r="Z19" s="2"/>
      <c r="AA19" s="1">
        <v>1</v>
      </c>
      <c r="AB19" s="17">
        <v>0</v>
      </c>
      <c r="AC19" s="17">
        <v>1</v>
      </c>
      <c r="AD19" s="17">
        <v>0</v>
      </c>
      <c r="AE19" s="17">
        <v>1</v>
      </c>
      <c r="AF19" s="2"/>
      <c r="AG19" s="19"/>
      <c r="AH19" s="17"/>
    </row>
    <row r="20" spans="1:34">
      <c r="A20" s="1">
        <v>18</v>
      </c>
      <c r="B20" s="1" t="s">
        <v>139</v>
      </c>
      <c r="C20" s="1">
        <f>SUM(D20:AH20)</f>
        <v>62</v>
      </c>
      <c r="D20" s="19"/>
      <c r="E20" s="2"/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9"/>
      <c r="L20" s="2"/>
      <c r="M20" s="1">
        <v>0</v>
      </c>
      <c r="N20" s="1">
        <v>0</v>
      </c>
      <c r="O20" s="1">
        <v>6</v>
      </c>
      <c r="P20" s="1">
        <v>6</v>
      </c>
      <c r="Q20" s="1">
        <v>6</v>
      </c>
      <c r="R20" s="19"/>
      <c r="S20" s="2"/>
      <c r="T20" s="1">
        <v>4</v>
      </c>
      <c r="U20" s="1">
        <v>4</v>
      </c>
      <c r="V20" s="1">
        <v>4</v>
      </c>
      <c r="W20" s="1">
        <v>4</v>
      </c>
      <c r="X20" s="1">
        <v>4</v>
      </c>
      <c r="Y20" s="19"/>
      <c r="Z20" s="2"/>
      <c r="AA20" s="1">
        <v>3</v>
      </c>
      <c r="AB20" s="17">
        <v>6</v>
      </c>
      <c r="AC20" s="17">
        <v>4</v>
      </c>
      <c r="AD20" s="17">
        <v>6</v>
      </c>
      <c r="AE20" s="17">
        <v>5</v>
      </c>
      <c r="AF20" s="2"/>
      <c r="AG20" s="19"/>
      <c r="AH20" s="17"/>
    </row>
    <row r="22" spans="1:34">
      <c r="A22" s="35"/>
      <c r="B22" s="4" t="s">
        <v>141</v>
      </c>
    </row>
    <row r="23" spans="1:34" hidden="1"/>
    <row r="24" spans="1:34" hidden="1">
      <c r="A24" t="s">
        <v>159</v>
      </c>
    </row>
    <row r="25" spans="1:34" hidden="1">
      <c r="A25" t="s">
        <v>161</v>
      </c>
    </row>
    <row r="26" spans="1:34" hidden="1">
      <c r="A26" t="s">
        <v>164</v>
      </c>
    </row>
    <row r="27" spans="1:34">
      <c r="A27" t="s">
        <v>165</v>
      </c>
    </row>
  </sheetData>
  <mergeCells count="33">
    <mergeCell ref="AF1:AF2"/>
    <mergeCell ref="AG1:AG2"/>
    <mergeCell ref="AH1:AH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1" type="noConversion"/>
  <conditionalFormatting sqref="B18">
    <cfRule type="duplicateValues" dxfId="3" priority="3"/>
  </conditionalFormatting>
  <conditionalFormatting sqref="B19:B20">
    <cfRule type="duplicateValues" dxfId="2" priority="1"/>
  </conditionalFormatting>
  <conditionalFormatting sqref="B22">
    <cfRule type="duplicateValues" dxfId="1" priority="2"/>
  </conditionalFormatting>
  <pageMargins left="0.7" right="0.7" top="0.75" bottom="0.75" header="0.3" footer="0.3"/>
  <pageSetup paperSize="9" scale="42" fitToHeight="0" orientation="landscape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G20"/>
  <sheetViews>
    <sheetView workbookViewId="0">
      <selection activeCell="J11" sqref="J11:J12"/>
    </sheetView>
  </sheetViews>
  <sheetFormatPr baseColWidth="10" defaultColWidth="8.83203125" defaultRowHeight="15"/>
  <cols>
    <col min="1" max="2" width="15.83203125" customWidth="1"/>
    <col min="3" max="3" width="17.33203125" bestFit="1" customWidth="1"/>
    <col min="4" max="4" width="17.83203125" customWidth="1"/>
    <col min="5" max="5" width="13.1640625" customWidth="1"/>
    <col min="6" max="6" width="17.33203125" customWidth="1"/>
    <col min="7" max="7" width="44.6640625" customWidth="1"/>
  </cols>
  <sheetData>
    <row r="1" spans="1:7" ht="27">
      <c r="A1" s="62" t="s">
        <v>20</v>
      </c>
      <c r="B1" s="63"/>
      <c r="C1" s="64" t="s">
        <v>26</v>
      </c>
      <c r="D1" s="65" t="s">
        <v>115</v>
      </c>
      <c r="E1" s="65"/>
      <c r="F1" s="65"/>
      <c r="G1" s="65"/>
    </row>
    <row r="2" spans="1:7" ht="16.25" customHeight="1">
      <c r="A2" s="1" t="s">
        <v>1</v>
      </c>
      <c r="B2" s="1" t="s">
        <v>2</v>
      </c>
      <c r="C2" s="65"/>
      <c r="D2" s="1" t="s">
        <v>106</v>
      </c>
      <c r="E2" s="1" t="s">
        <v>109</v>
      </c>
      <c r="F2" s="2" t="s">
        <v>108</v>
      </c>
      <c r="G2" s="14"/>
    </row>
    <row r="3" spans="1:7">
      <c r="A3" s="1">
        <v>1</v>
      </c>
      <c r="B3" s="1" t="s">
        <v>3</v>
      </c>
      <c r="C3" s="1"/>
      <c r="D3" s="1">
        <f>'TP加班累計-請假總合_2025'!O3</f>
        <v>0</v>
      </c>
      <c r="E3" s="1">
        <f>C3+D3</f>
        <v>0</v>
      </c>
      <c r="F3" s="10">
        <v>-2</v>
      </c>
      <c r="G3" s="14"/>
    </row>
    <row r="4" spans="1:7">
      <c r="A4" s="1">
        <v>2</v>
      </c>
      <c r="B4" s="1" t="s">
        <v>4</v>
      </c>
      <c r="C4" s="1">
        <v>17</v>
      </c>
      <c r="D4" s="1">
        <f>'TP加班累計-請假總合_2025'!O4</f>
        <v>-23</v>
      </c>
      <c r="E4" s="1">
        <f t="shared" ref="E4:E18" si="0">C4+D4</f>
        <v>-6</v>
      </c>
      <c r="F4" s="2">
        <v>24</v>
      </c>
      <c r="G4" s="14" t="s">
        <v>116</v>
      </c>
    </row>
    <row r="5" spans="1:7">
      <c r="A5" s="1">
        <v>3</v>
      </c>
      <c r="B5" s="1" t="s">
        <v>5</v>
      </c>
      <c r="C5" s="1">
        <v>-53</v>
      </c>
      <c r="D5" s="1">
        <f>'TP加班累計-請假總合_2025'!O5</f>
        <v>-88</v>
      </c>
      <c r="E5" s="1">
        <f t="shared" si="0"/>
        <v>-141</v>
      </c>
      <c r="F5" s="10">
        <v>-49</v>
      </c>
      <c r="G5" s="14" t="s">
        <v>114</v>
      </c>
    </row>
    <row r="6" spans="1:7">
      <c r="A6" s="1">
        <v>4</v>
      </c>
      <c r="B6" s="1" t="s">
        <v>6</v>
      </c>
      <c r="C6" s="1">
        <v>-3</v>
      </c>
      <c r="D6" s="1">
        <f>'TP加班累計-請假總合_2025'!O6</f>
        <v>3</v>
      </c>
      <c r="E6" s="1">
        <f t="shared" si="0"/>
        <v>0</v>
      </c>
      <c r="F6" s="10">
        <v>-24</v>
      </c>
      <c r="G6" s="14" t="s">
        <v>113</v>
      </c>
    </row>
    <row r="7" spans="1:7">
      <c r="A7" s="1">
        <v>5</v>
      </c>
      <c r="B7" s="1" t="s">
        <v>7</v>
      </c>
      <c r="C7" s="1">
        <v>-24</v>
      </c>
      <c r="D7" s="1">
        <f>'TP加班累計-請假總合_2025'!O7</f>
        <v>422</v>
      </c>
      <c r="E7" s="1">
        <f t="shared" si="0"/>
        <v>398</v>
      </c>
      <c r="F7" s="10">
        <v>-1</v>
      </c>
      <c r="G7" s="14" t="s">
        <v>112</v>
      </c>
    </row>
    <row r="8" spans="1:7">
      <c r="A8" s="1">
        <v>6</v>
      </c>
      <c r="B8" s="1" t="s">
        <v>8</v>
      </c>
      <c r="C8" s="1">
        <v>100</v>
      </c>
      <c r="D8" s="1">
        <f>'TP加班累計-請假總合_2025'!O8</f>
        <v>129</v>
      </c>
      <c r="E8" s="1">
        <f t="shared" si="0"/>
        <v>229</v>
      </c>
      <c r="F8" s="2">
        <v>0</v>
      </c>
      <c r="G8" s="14" t="s">
        <v>118</v>
      </c>
    </row>
    <row r="9" spans="1:7">
      <c r="A9" s="1">
        <v>7</v>
      </c>
      <c r="B9" s="1" t="s">
        <v>9</v>
      </c>
      <c r="C9" s="1">
        <v>6</v>
      </c>
      <c r="D9" s="1">
        <f>'TP加班累計-請假總合_2025'!O9</f>
        <v>-57</v>
      </c>
      <c r="E9" s="1">
        <f t="shared" si="0"/>
        <v>-51</v>
      </c>
      <c r="F9" s="10">
        <v>-20</v>
      </c>
      <c r="G9" s="14" t="s">
        <v>111</v>
      </c>
    </row>
    <row r="10" spans="1:7">
      <c r="A10" s="1">
        <v>8</v>
      </c>
      <c r="B10" s="1" t="s">
        <v>10</v>
      </c>
      <c r="C10" s="1">
        <v>10</v>
      </c>
      <c r="D10" s="1">
        <f>'TP加班累計-請假總合_2025'!O10</f>
        <v>122</v>
      </c>
      <c r="E10" s="1">
        <f t="shared" si="0"/>
        <v>132</v>
      </c>
      <c r="F10" s="2">
        <v>0</v>
      </c>
      <c r="G10" s="14" t="s">
        <v>117</v>
      </c>
    </row>
    <row r="11" spans="1:7">
      <c r="A11" s="1">
        <v>9</v>
      </c>
      <c r="B11" s="1" t="s">
        <v>11</v>
      </c>
      <c r="C11" s="1">
        <v>-46</v>
      </c>
      <c r="D11" s="1">
        <f>'TP加班累計-請假總合_2025'!O11</f>
        <v>294</v>
      </c>
      <c r="E11" s="1">
        <f t="shared" si="0"/>
        <v>248</v>
      </c>
      <c r="F11" s="10">
        <v>-84</v>
      </c>
      <c r="G11" s="14" t="s">
        <v>110</v>
      </c>
    </row>
    <row r="12" spans="1:7">
      <c r="A12" s="1">
        <v>10</v>
      </c>
      <c r="B12" s="1" t="s">
        <v>12</v>
      </c>
      <c r="C12" s="1">
        <v>18</v>
      </c>
      <c r="D12" s="1">
        <f>'TP加班累計-請假總合_2025'!O12</f>
        <v>75</v>
      </c>
      <c r="E12" s="1">
        <f t="shared" si="0"/>
        <v>93</v>
      </c>
      <c r="F12" s="2">
        <v>0</v>
      </c>
      <c r="G12" s="14" t="s">
        <v>119</v>
      </c>
    </row>
    <row r="13" spans="1:7">
      <c r="A13" s="1">
        <v>11</v>
      </c>
      <c r="B13" s="1" t="s">
        <v>13</v>
      </c>
      <c r="C13" s="1">
        <v>24</v>
      </c>
      <c r="D13" s="1">
        <f>'TP加班累計-請假總合_2025'!O13</f>
        <v>398</v>
      </c>
      <c r="E13" s="1">
        <f t="shared" si="0"/>
        <v>422</v>
      </c>
      <c r="F13" s="2">
        <v>4</v>
      </c>
      <c r="G13" s="14" t="s">
        <v>125</v>
      </c>
    </row>
    <row r="14" spans="1:7">
      <c r="A14" s="1">
        <v>12</v>
      </c>
      <c r="B14" s="1" t="s">
        <v>14</v>
      </c>
      <c r="C14" s="1">
        <v>112</v>
      </c>
      <c r="D14" s="1">
        <f>'TP加班累計-請假總合_2025'!O14</f>
        <v>406</v>
      </c>
      <c r="E14" s="1">
        <f t="shared" si="0"/>
        <v>518</v>
      </c>
      <c r="F14" s="2">
        <v>0</v>
      </c>
      <c r="G14" s="14" t="s">
        <v>120</v>
      </c>
    </row>
    <row r="15" spans="1:7">
      <c r="A15" s="1">
        <v>13</v>
      </c>
      <c r="B15" s="1" t="s">
        <v>16</v>
      </c>
      <c r="C15" s="1">
        <v>67</v>
      </c>
      <c r="D15" s="1">
        <f>'TP加班累計-請假總合_2025'!O15</f>
        <v>335</v>
      </c>
      <c r="E15" s="1">
        <f t="shared" si="0"/>
        <v>402</v>
      </c>
      <c r="F15" s="2">
        <v>0</v>
      </c>
      <c r="G15" s="14" t="s">
        <v>121</v>
      </c>
    </row>
    <row r="16" spans="1:7">
      <c r="A16" s="1">
        <v>14</v>
      </c>
      <c r="B16" s="1" t="s">
        <v>60</v>
      </c>
      <c r="C16" s="1">
        <v>-13</v>
      </c>
      <c r="D16" s="1">
        <f>'TP加班累計-請假總合_2025'!O16</f>
        <v>284</v>
      </c>
      <c r="E16" s="1">
        <f t="shared" si="0"/>
        <v>271</v>
      </c>
      <c r="F16" s="2">
        <v>5</v>
      </c>
      <c r="G16" s="14" t="s">
        <v>122</v>
      </c>
    </row>
    <row r="17" spans="1:7">
      <c r="A17" s="1">
        <v>15</v>
      </c>
      <c r="B17" s="1" t="s">
        <v>66</v>
      </c>
      <c r="C17" s="1">
        <v>9</v>
      </c>
      <c r="D17" s="1">
        <f>'TP加班累計-請假總合_2025'!O17</f>
        <v>80</v>
      </c>
      <c r="E17" s="1">
        <f t="shared" si="0"/>
        <v>89</v>
      </c>
      <c r="F17" s="2">
        <v>11</v>
      </c>
      <c r="G17" s="14" t="s">
        <v>123</v>
      </c>
    </row>
    <row r="18" spans="1:7">
      <c r="A18" s="1">
        <v>16</v>
      </c>
      <c r="B18" s="1" t="s">
        <v>87</v>
      </c>
      <c r="C18" s="1">
        <v>17</v>
      </c>
      <c r="D18" s="1">
        <f>'TP加班累計-請假總合_2025'!O18</f>
        <v>138</v>
      </c>
      <c r="E18" s="1">
        <f t="shared" si="0"/>
        <v>155</v>
      </c>
      <c r="F18" s="2">
        <v>11</v>
      </c>
      <c r="G18" s="14" t="s">
        <v>124</v>
      </c>
    </row>
    <row r="19" spans="1:7">
      <c r="A19" s="75" t="s">
        <v>21</v>
      </c>
      <c r="B19" s="76"/>
      <c r="C19" s="77"/>
    </row>
    <row r="20" spans="1:7">
      <c r="A20" s="78"/>
      <c r="B20" s="79"/>
      <c r="C20" s="80"/>
    </row>
  </sheetData>
  <mergeCells count="4">
    <mergeCell ref="A1:B1"/>
    <mergeCell ref="C1:C2"/>
    <mergeCell ref="A19:C20"/>
    <mergeCell ref="D1:G1"/>
  </mergeCells>
  <phoneticPr fontId="1" type="noConversion"/>
  <conditionalFormatting sqref="C3:E1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2025分析表</vt:lpstr>
      <vt:lpstr>TP加班累計-請假總合_2025</vt:lpstr>
      <vt:lpstr>TP出勤12月份</vt:lpstr>
      <vt:lpstr>TP12月份請假</vt:lpstr>
      <vt:lpstr>TP12月份加班</vt:lpstr>
      <vt:lpstr>TP出勤1月份</vt:lpstr>
      <vt:lpstr>TP1月份請假</vt:lpstr>
      <vt:lpstr>TP1月份加班</vt:lpstr>
      <vt:lpstr>TP出勤2月份</vt:lpstr>
      <vt:lpstr>TP2月份請假</vt:lpstr>
      <vt:lpstr>TP2月份加班</vt:lpstr>
      <vt:lpstr>TP出勤3月份</vt:lpstr>
      <vt:lpstr>TP3月份請假</vt:lpstr>
      <vt:lpstr>TP3月份加班</vt:lpstr>
      <vt:lpstr>TP出勤4月份</vt:lpstr>
      <vt:lpstr>TP4月份請假</vt:lpstr>
      <vt:lpstr>TP4月份加班</vt:lpstr>
      <vt:lpstr>TP出勤5月份</vt:lpstr>
      <vt:lpstr>TP5月份請假</vt:lpstr>
      <vt:lpstr>TP5月份加班</vt:lpstr>
      <vt:lpstr>TP出勤6月份</vt:lpstr>
      <vt:lpstr>TP6月份請假</vt:lpstr>
      <vt:lpstr>TP6月份加班</vt:lpstr>
      <vt:lpstr>TP出勤7月份</vt:lpstr>
      <vt:lpstr>TP7月份請假</vt:lpstr>
      <vt:lpstr>TP7月份加班</vt:lpstr>
      <vt:lpstr>TP出勤8月份</vt:lpstr>
      <vt:lpstr>TP8月份請假</vt:lpstr>
      <vt:lpstr>TP8月份加班</vt:lpstr>
      <vt:lpstr>TP出勤9月份</vt:lpstr>
      <vt:lpstr>TP9月份請假</vt:lpstr>
      <vt:lpstr>TP9月份加班</vt:lpstr>
      <vt:lpstr>TP出勤10月份</vt:lpstr>
      <vt:lpstr>TP10月份請假</vt:lpstr>
      <vt:lpstr>TP10月份加班</vt:lpstr>
      <vt:lpstr>TP出勤11月份</vt:lpstr>
      <vt:lpstr>TP11月份請假</vt:lpstr>
      <vt:lpstr>TP11月份加班</vt:lpstr>
      <vt:lpstr>TP加班累計-請假總合_2024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林世彬</dc:creator>
  <cp:lastModifiedBy>Cody Li</cp:lastModifiedBy>
  <cp:lastPrinted>2024-11-11T06:06:53Z</cp:lastPrinted>
  <dcterms:created xsi:type="dcterms:W3CDTF">2023-12-18T03:57:47Z</dcterms:created>
  <dcterms:modified xsi:type="dcterms:W3CDTF">2026-02-09T04:55:43Z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90361f-d7d8-42be-944f-5502bb5e2911_Enabled">
    <vt:lpwstr>true</vt:lpwstr>
  </property>
  <property fmtid="{D5CDD505-2E9C-101B-9397-08002B2CF9AE}" pid="3" name="MSIP_Label_0190361f-d7d8-42be-944f-5502bb5e2911_SetDate">
    <vt:lpwstr>2024-10-25T00:05:22Z</vt:lpwstr>
  </property>
  <property fmtid="{D5CDD505-2E9C-101B-9397-08002B2CF9AE}" pid="4" name="MSIP_Label_0190361f-d7d8-42be-944f-5502bb5e2911_Method">
    <vt:lpwstr>Standard</vt:lpwstr>
  </property>
  <property fmtid="{D5CDD505-2E9C-101B-9397-08002B2CF9AE}" pid="5" name="MSIP_Label_0190361f-d7d8-42be-944f-5502bb5e2911_Name">
    <vt:lpwstr>一般</vt:lpwstr>
  </property>
  <property fmtid="{D5CDD505-2E9C-101B-9397-08002B2CF9AE}" pid="6" name="MSIP_Label_0190361f-d7d8-42be-944f-5502bb5e2911_SiteId">
    <vt:lpwstr>cdb587e9-824c-41b5-b47f-5af9864b075b</vt:lpwstr>
  </property>
  <property fmtid="{D5CDD505-2E9C-101B-9397-08002B2CF9AE}" pid="7" name="MSIP_Label_0190361f-d7d8-42be-944f-5502bb5e2911_ActionId">
    <vt:lpwstr>7fb464c9-ad32-4c38-830a-f058c8024ac9</vt:lpwstr>
  </property>
  <property fmtid="{D5CDD505-2E9C-101B-9397-08002B2CF9AE}" pid="8" name="MSIP_Label_0190361f-d7d8-42be-944f-5502bb5e2911_ContentBits">
    <vt:lpwstr>0</vt:lpwstr>
  </property>
</Properties>
</file>